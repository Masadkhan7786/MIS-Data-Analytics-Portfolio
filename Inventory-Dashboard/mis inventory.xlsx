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545816a4f8a6517e/Desktop/Inventory-Dashboard/"/>
    </mc:Choice>
  </mc:AlternateContent>
  <xr:revisionPtr revIDLastSave="11" documentId="13_ncr:1_{ADDD7DE7-CA7C-49C2-A56C-95AF9437475A}" xr6:coauthVersionLast="47" xr6:coauthVersionMax="47" xr10:uidLastSave="{CF85B55B-91BE-4661-8DE7-237D30AF8D94}"/>
  <bookViews>
    <workbookView minimized="1" xWindow="5115" yWindow="2070" windowWidth="15375" windowHeight="7875" firstSheet="1" activeTab="3" xr2:uid="{D8F3B69F-D46F-476C-91DF-774AFC7F7E91}"/>
  </bookViews>
  <sheets>
    <sheet name="Raw_data" sheetId="1" r:id="rId1"/>
    <sheet name="Product_Master" sheetId="2" r:id="rId2"/>
    <sheet name="Dashboard_data" sheetId="6" r:id="rId3"/>
    <sheet name="Inventory_Risk_Dashboard" sheetId="8" r:id="rId4"/>
  </sheets>
  <definedNames>
    <definedName name="Aging_Bucket">Raw_data!$T$2:$T$481</definedName>
    <definedName name="Average_Inventory">Raw_data!$S$2:$S$481</definedName>
    <definedName name="Category">Raw_data!$C$2:$C$481</definedName>
    <definedName name="Closing_Stock">Raw_data!$H$2:$H$481</definedName>
    <definedName name="Cost_Price">Raw_data!$I$2:$I$481</definedName>
    <definedName name="Dead_Stock_flag">Raw_data!$P$2:$P$481</definedName>
    <definedName name="Inventory_Value">Raw_data!$U$2:$U$481</definedName>
    <definedName name="Low_Margin_Risk">Raw_data!$Q$2:$Q$481</definedName>
    <definedName name="Month">Raw_data!$E$2:$E$481</definedName>
    <definedName name="Opening_Stock">Raw_data!$F$2:$F$481</definedName>
    <definedName name="Overstock_Risk">Raw_data!$R$2:$R$481</definedName>
    <definedName name="Product_ID">Raw_data!$A$2:$A$481</definedName>
    <definedName name="Product_Name">Raw_data!$B$2:$B$481</definedName>
    <definedName name="profit">Raw_data!$M$2:$M$481</definedName>
    <definedName name="Profit_margin">Raw_data!$N$2:$N$481</definedName>
    <definedName name="Region">Raw_data!$D$2:$D$481</definedName>
    <definedName name="Revenue">Raw_data!$K$2:$K$481</definedName>
    <definedName name="Selling_Price">Raw_data!$J$2:$J$481</definedName>
    <definedName name="Slicer_Category1">#N/A</definedName>
    <definedName name="Slicer_Month1">#N/A</definedName>
    <definedName name="Slicer_Region1">#N/A</definedName>
    <definedName name="Slow_moving_flag">Raw_data!$O$2:$O$481</definedName>
    <definedName name="Total_cost">Raw_data!$L$2:$L$481</definedName>
    <definedName name="Units_Sold">Raw_data!$G$2:$G$481</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2" i="6" l="1"/>
  <c r="S2" i="1"/>
  <c r="S3"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2" i="1"/>
  <c r="U2" i="1"/>
  <c r="O397"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2"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P12" i="1"/>
  <c r="P3" i="1"/>
  <c r="P4" i="1"/>
  <c r="P5" i="1"/>
  <c r="P6" i="1"/>
  <c r="P7" i="1"/>
  <c r="P8" i="1"/>
  <c r="P9" i="1"/>
  <c r="P10" i="1"/>
  <c r="P11"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2" i="1"/>
  <c r="N6" i="1"/>
  <c r="Q6" i="1" s="1"/>
  <c r="N114" i="1"/>
  <c r="Q114" i="1" s="1"/>
  <c r="N122" i="1"/>
  <c r="Q122" i="1" s="1"/>
  <c r="N162" i="1"/>
  <c r="Q162" i="1" s="1"/>
  <c r="K3" i="1"/>
  <c r="K4" i="1"/>
  <c r="N4" i="1" s="1"/>
  <c r="Q4" i="1" s="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N84" i="1" s="1"/>
  <c r="Q84" i="1" s="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N169" i="1" s="1"/>
  <c r="Q169" i="1" s="1"/>
  <c r="K170" i="1"/>
  <c r="K171" i="1"/>
  <c r="K172" i="1"/>
  <c r="K173" i="1"/>
  <c r="K174" i="1"/>
  <c r="K175" i="1"/>
  <c r="K176" i="1"/>
  <c r="K177" i="1"/>
  <c r="K178" i="1"/>
  <c r="K179" i="1"/>
  <c r="N179" i="1" s="1"/>
  <c r="Q179" i="1" s="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N305" i="1" s="1"/>
  <c r="Q305" i="1" s="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2" i="1"/>
  <c r="D16" i="6"/>
  <c r="C5" i="6"/>
  <c r="H5" i="6"/>
  <c r="F5" i="6"/>
  <c r="B5" i="6"/>
  <c r="J5" i="6"/>
  <c r="D5" i="6"/>
  <c r="B4" i="8" l="1"/>
  <c r="K4" i="8"/>
  <c r="N4" i="8"/>
  <c r="H4" i="8"/>
  <c r="Q4" i="8"/>
  <c r="E4" i="8"/>
  <c r="N290" i="1"/>
  <c r="Q290" i="1" s="1"/>
  <c r="M332" i="1"/>
  <c r="N332" i="1" s="1"/>
  <c r="Q332" i="1" s="1"/>
  <c r="M118" i="1"/>
  <c r="N118" i="1" s="1"/>
  <c r="Q118" i="1" s="1"/>
  <c r="Q199" i="1"/>
  <c r="M199" i="1"/>
  <c r="N199" i="1" s="1"/>
  <c r="N144" i="1"/>
  <c r="Q144" i="1" s="1"/>
  <c r="M144" i="1"/>
  <c r="M264" i="1"/>
  <c r="N264" i="1" s="1"/>
  <c r="Q264" i="1" s="1"/>
  <c r="N41" i="1"/>
  <c r="Q41" i="1" s="1"/>
  <c r="M41" i="1"/>
  <c r="M202" i="1"/>
  <c r="N202" i="1" s="1"/>
  <c r="Q202" i="1" s="1"/>
  <c r="N267" i="1"/>
  <c r="Q267" i="1" s="1"/>
  <c r="M267" i="1"/>
  <c r="M136" i="1"/>
  <c r="N136" i="1" s="1"/>
  <c r="Q136" i="1" s="1"/>
  <c r="N130" i="1"/>
  <c r="Q130" i="1" s="1"/>
  <c r="M130" i="1"/>
  <c r="M111" i="1"/>
  <c r="N111" i="1" s="1"/>
  <c r="Q111" i="1" s="1"/>
  <c r="N92" i="1"/>
  <c r="Q92" i="1" s="1"/>
  <c r="M92" i="1"/>
  <c r="M272" i="1"/>
  <c r="N272" i="1" s="1"/>
  <c r="Q272" i="1" s="1"/>
  <c r="N391" i="1"/>
  <c r="Q391" i="1" s="1"/>
  <c r="M391" i="1"/>
  <c r="M463" i="1"/>
  <c r="N463" i="1" s="1"/>
  <c r="Q463" i="1" s="1"/>
  <c r="N58" i="1"/>
  <c r="Q58" i="1" s="1"/>
  <c r="M58" i="1"/>
  <c r="M67" i="1"/>
  <c r="N67" i="1" s="1"/>
  <c r="Q67" i="1" s="1"/>
  <c r="N12" i="1"/>
  <c r="Q12" i="1" s="1"/>
  <c r="M12" i="1"/>
  <c r="Q50" i="1"/>
  <c r="M50" i="1"/>
  <c r="N50" i="1" s="1"/>
  <c r="N70" i="1"/>
  <c r="Q70" i="1" s="1"/>
  <c r="M70" i="1"/>
  <c r="M119" i="1"/>
  <c r="N119" i="1" s="1"/>
  <c r="Q119" i="1" s="1"/>
  <c r="N243" i="1"/>
  <c r="Q243" i="1" s="1"/>
  <c r="M243" i="1"/>
  <c r="M220" i="1"/>
  <c r="N220" i="1" s="1"/>
  <c r="Q220" i="1" s="1"/>
  <c r="N399" i="1"/>
  <c r="Q399" i="1" s="1"/>
  <c r="M399" i="1"/>
  <c r="M475" i="1"/>
  <c r="N475" i="1" s="1"/>
  <c r="Q475" i="1" s="1"/>
  <c r="M353" i="1"/>
  <c r="N353" i="1" s="1"/>
  <c r="Q353" i="1" s="1"/>
  <c r="M18" i="1"/>
  <c r="N18" i="1" s="1"/>
  <c r="Q18" i="1" s="1"/>
  <c r="M26" i="1"/>
  <c r="N26" i="1" s="1"/>
  <c r="Q26" i="1" s="1"/>
  <c r="M102" i="1"/>
  <c r="N102" i="1"/>
  <c r="Q102" i="1" s="1"/>
  <c r="M15" i="1"/>
  <c r="N15" i="1" s="1"/>
  <c r="Q15" i="1" s="1"/>
  <c r="M23" i="1"/>
  <c r="N23" i="1" s="1"/>
  <c r="Q23" i="1" s="1"/>
  <c r="M99" i="1"/>
  <c r="N99" i="1" s="1"/>
  <c r="Q99" i="1" s="1"/>
  <c r="M143" i="1"/>
  <c r="N143" i="1"/>
  <c r="Q143" i="1" s="1"/>
  <c r="M151" i="1"/>
  <c r="N151" i="1"/>
  <c r="Q151" i="1" s="1"/>
  <c r="M231" i="1"/>
  <c r="N231" i="1" s="1"/>
  <c r="Q231" i="1" s="1"/>
  <c r="M36" i="1"/>
  <c r="N36" i="1" s="1"/>
  <c r="Q36" i="1" s="1"/>
  <c r="M44" i="1"/>
  <c r="N44" i="1"/>
  <c r="Q44" i="1" s="1"/>
  <c r="M124" i="1"/>
  <c r="N124" i="1"/>
  <c r="Q124" i="1" s="1"/>
  <c r="M168" i="1"/>
  <c r="N168" i="1" s="1"/>
  <c r="Q168" i="1" s="1"/>
  <c r="M176" i="1"/>
  <c r="N176" i="1" s="1"/>
  <c r="Q176" i="1" s="1"/>
  <c r="M252" i="1"/>
  <c r="N252" i="1"/>
  <c r="Q252" i="1" s="1"/>
  <c r="M185" i="1"/>
  <c r="N185" i="1"/>
  <c r="Q185" i="1" s="1"/>
  <c r="Q306" i="1"/>
  <c r="M306" i="1"/>
  <c r="N306" i="1" s="1"/>
  <c r="M359" i="1"/>
  <c r="N359" i="1" s="1"/>
  <c r="Q359" i="1" s="1"/>
  <c r="M367" i="1"/>
  <c r="N367" i="1"/>
  <c r="Q367" i="1" s="1"/>
  <c r="Q411" i="1"/>
  <c r="M411" i="1"/>
  <c r="N411" i="1"/>
  <c r="Q412" i="1"/>
  <c r="N412" i="1"/>
  <c r="M412" i="1"/>
  <c r="N476" i="1"/>
  <c r="Q476" i="1" s="1"/>
  <c r="M476" i="1"/>
  <c r="M205" i="1"/>
  <c r="N205" i="1" s="1"/>
  <c r="Q205" i="1" s="1"/>
  <c r="M271" i="1"/>
  <c r="N271" i="1" s="1"/>
  <c r="Q271" i="1" s="1"/>
  <c r="Q361" i="1"/>
  <c r="N361" i="1"/>
  <c r="M361" i="1"/>
  <c r="N346" i="1"/>
  <c r="Q346" i="1" s="1"/>
  <c r="M346" i="1"/>
  <c r="M4" i="1"/>
  <c r="M131" i="1"/>
  <c r="N131" i="1" s="1"/>
  <c r="Q131" i="1" s="1"/>
  <c r="M175" i="1"/>
  <c r="N175" i="1"/>
  <c r="Q175" i="1" s="1"/>
  <c r="Q187" i="1"/>
  <c r="M187" i="1"/>
  <c r="N187" i="1"/>
  <c r="M24" i="1"/>
  <c r="N24" i="1" s="1"/>
  <c r="Q24" i="1" s="1"/>
  <c r="M68" i="1"/>
  <c r="N68" i="1" s="1"/>
  <c r="Q68" i="1" s="1"/>
  <c r="M76" i="1"/>
  <c r="N76" i="1"/>
  <c r="Q76" i="1" s="1"/>
  <c r="Q156" i="1"/>
  <c r="M156" i="1"/>
  <c r="N156" i="1"/>
  <c r="M200" i="1"/>
  <c r="N200" i="1" s="1"/>
  <c r="Q200" i="1" s="1"/>
  <c r="M208" i="1"/>
  <c r="N208" i="1" s="1"/>
  <c r="Q208" i="1" s="1"/>
  <c r="M333" i="1"/>
  <c r="N333" i="1"/>
  <c r="Q333" i="1" s="1"/>
  <c r="Q379" i="1"/>
  <c r="M379" i="1"/>
  <c r="N379" i="1"/>
  <c r="M431" i="1"/>
  <c r="N431" i="1" s="1"/>
  <c r="Q431" i="1" s="1"/>
  <c r="M121" i="1"/>
  <c r="N121" i="1" s="1"/>
  <c r="Q121" i="1" s="1"/>
  <c r="M376" i="1"/>
  <c r="N376" i="1"/>
  <c r="Q376" i="1" s="1"/>
  <c r="M350" i="1"/>
  <c r="N350" i="1" s="1"/>
  <c r="Q350" i="1" s="1"/>
  <c r="M290" i="1"/>
  <c r="Q3" i="1"/>
  <c r="M3" i="1"/>
  <c r="N3" i="1"/>
  <c r="Q47" i="1"/>
  <c r="M47" i="1"/>
  <c r="N47" i="1" s="1"/>
  <c r="M55" i="1"/>
  <c r="N55" i="1" s="1"/>
  <c r="Q55" i="1" s="1"/>
  <c r="M38" i="1"/>
  <c r="N38" i="1"/>
  <c r="Q38" i="1" s="1"/>
  <c r="Q82" i="1"/>
  <c r="M82" i="1"/>
  <c r="N82" i="1"/>
  <c r="Q90" i="1"/>
  <c r="M90" i="1"/>
  <c r="N90" i="1" s="1"/>
  <c r="M35" i="1"/>
  <c r="N35" i="1" s="1"/>
  <c r="Q35" i="1" s="1"/>
  <c r="M79" i="1"/>
  <c r="N79" i="1"/>
  <c r="Q79" i="1" s="1"/>
  <c r="Q87" i="1"/>
  <c r="M87" i="1"/>
  <c r="N87" i="1"/>
  <c r="Q163" i="1"/>
  <c r="M163" i="1"/>
  <c r="N163" i="1" s="1"/>
  <c r="M211" i="1"/>
  <c r="N211" i="1" s="1"/>
  <c r="Q211" i="1" s="1"/>
  <c r="M219" i="1"/>
  <c r="N219" i="1"/>
  <c r="Q219" i="1" s="1"/>
  <c r="Q56" i="1"/>
  <c r="M56" i="1"/>
  <c r="N56" i="1"/>
  <c r="Q104" i="1"/>
  <c r="M104" i="1"/>
  <c r="N104" i="1" s="1"/>
  <c r="M112" i="1"/>
  <c r="N112" i="1" s="1"/>
  <c r="Q112" i="1" s="1"/>
  <c r="M188" i="1"/>
  <c r="N188" i="1"/>
  <c r="Q188" i="1" s="1"/>
  <c r="Q232" i="1"/>
  <c r="M232" i="1"/>
  <c r="N232" i="1"/>
  <c r="Q240" i="1"/>
  <c r="M240" i="1"/>
  <c r="N240" i="1" s="1"/>
  <c r="M347" i="1"/>
  <c r="N347" i="1" s="1"/>
  <c r="Q347" i="1" s="1"/>
  <c r="M443" i="1"/>
  <c r="N443" i="1"/>
  <c r="Q443" i="1" s="1"/>
  <c r="Q73" i="1"/>
  <c r="M73" i="1"/>
  <c r="N73" i="1"/>
  <c r="Q242" i="1"/>
  <c r="M242" i="1"/>
  <c r="N242" i="1" s="1"/>
  <c r="M259" i="1"/>
  <c r="N259" i="1" s="1"/>
  <c r="Q259" i="1" s="1"/>
  <c r="M302" i="1"/>
  <c r="N302" i="1" s="1"/>
  <c r="Q302" i="1" s="1"/>
  <c r="M364" i="1"/>
  <c r="N364" i="1" s="1"/>
  <c r="Q364" i="1" s="1"/>
  <c r="Q444" i="1"/>
  <c r="N444" i="1"/>
  <c r="M444" i="1"/>
  <c r="N381" i="1"/>
  <c r="Q381" i="1" s="1"/>
  <c r="M381" i="1"/>
  <c r="M158" i="1"/>
  <c r="N158" i="1" s="1"/>
  <c r="Q158" i="1" s="1"/>
  <c r="M169" i="1"/>
  <c r="M178" i="1"/>
  <c r="N178" i="1"/>
  <c r="Q178" i="1" s="1"/>
  <c r="Q318" i="1"/>
  <c r="M318" i="1"/>
  <c r="N318" i="1"/>
  <c r="M329" i="1"/>
  <c r="N329" i="1" s="1"/>
  <c r="Q329" i="1" s="1"/>
  <c r="M396" i="1"/>
  <c r="N396" i="1" s="1"/>
  <c r="Q396" i="1" s="1"/>
  <c r="M428" i="1"/>
  <c r="N428" i="1"/>
  <c r="Q428" i="1" s="1"/>
  <c r="Q460" i="1"/>
  <c r="M460" i="1"/>
  <c r="N460" i="1"/>
  <c r="M29" i="1"/>
  <c r="N29" i="1" s="1"/>
  <c r="Q29" i="1" s="1"/>
  <c r="M314" i="1"/>
  <c r="N314" i="1" s="1"/>
  <c r="Q314" i="1" s="1"/>
  <c r="M325" i="1"/>
  <c r="N325" i="1"/>
  <c r="Q325" i="1" s="1"/>
  <c r="Q349" i="1"/>
  <c r="M349" i="1"/>
  <c r="N349" i="1"/>
  <c r="M238" i="1"/>
  <c r="N238" i="1" s="1"/>
  <c r="Q238" i="1" s="1"/>
  <c r="M150" i="1"/>
  <c r="N150" i="1" s="1"/>
  <c r="Q150" i="1" s="1"/>
  <c r="M422" i="1"/>
  <c r="N422" i="1"/>
  <c r="Q422" i="1" s="1"/>
  <c r="Q418" i="1"/>
  <c r="M418" i="1"/>
  <c r="N418" i="1"/>
  <c r="M374" i="1"/>
  <c r="N374" i="1" s="1"/>
  <c r="Q374" i="1" s="1"/>
  <c r="M114" i="1"/>
  <c r="M122" i="1"/>
  <c r="Q275" i="1"/>
  <c r="M275" i="1"/>
  <c r="N275" i="1"/>
  <c r="Q286" i="1"/>
  <c r="M286" i="1"/>
  <c r="N286" i="1" s="1"/>
  <c r="M344" i="1"/>
  <c r="N344" i="1" s="1"/>
  <c r="Q344" i="1" s="1"/>
  <c r="M474" i="1"/>
  <c r="N474" i="1"/>
  <c r="Q474" i="1" s="1"/>
  <c r="Q478" i="1"/>
  <c r="M478" i="1"/>
  <c r="N478" i="1"/>
  <c r="Q278" i="1"/>
  <c r="M278" i="1"/>
  <c r="N278" i="1" s="1"/>
  <c r="M354" i="1"/>
  <c r="N354" i="1" s="1"/>
  <c r="Q354" i="1" s="1"/>
  <c r="M162" i="1"/>
  <c r="M6" i="1"/>
  <c r="M84" i="1"/>
  <c r="M141" i="1"/>
  <c r="N141" i="1" s="1"/>
  <c r="Q141" i="1" s="1"/>
  <c r="Q213" i="1"/>
  <c r="M213" i="1"/>
  <c r="N213" i="1" s="1"/>
  <c r="M385" i="1"/>
  <c r="N385" i="1" s="1"/>
  <c r="Q385" i="1" s="1"/>
  <c r="M410" i="1"/>
  <c r="N410" i="1"/>
  <c r="Q410" i="1" s="1"/>
  <c r="M414" i="1"/>
  <c r="N414" i="1" s="1"/>
  <c r="Q414" i="1" s="1"/>
  <c r="M273" i="1"/>
  <c r="N273" i="1" s="1"/>
  <c r="Q273" i="1" s="1"/>
  <c r="M305" i="1"/>
  <c r="M179" i="1"/>
  <c r="M464" i="1"/>
  <c r="N464" i="1" s="1"/>
  <c r="Q464" i="1" s="1"/>
  <c r="M452" i="1"/>
  <c r="N452" i="1" s="1"/>
  <c r="Q452" i="1" s="1"/>
  <c r="M440" i="1"/>
  <c r="N440" i="1" s="1"/>
  <c r="Q440" i="1" s="1"/>
  <c r="M432" i="1"/>
  <c r="N432" i="1"/>
  <c r="Q432" i="1" s="1"/>
  <c r="M420" i="1"/>
  <c r="N420" i="1" s="1"/>
  <c r="Q420" i="1" s="1"/>
  <c r="Q404" i="1"/>
  <c r="M404" i="1"/>
  <c r="N404" i="1" s="1"/>
  <c r="M384" i="1"/>
  <c r="N384" i="1" s="1"/>
  <c r="Q384" i="1" s="1"/>
  <c r="M372" i="1"/>
  <c r="N372" i="1"/>
  <c r="Q372" i="1" s="1"/>
  <c r="M360" i="1"/>
  <c r="N360" i="1" s="1"/>
  <c r="Q360" i="1" s="1"/>
  <c r="M348" i="1"/>
  <c r="N348" i="1" s="1"/>
  <c r="Q348" i="1" s="1"/>
  <c r="M321" i="1"/>
  <c r="N321" i="1" s="1"/>
  <c r="Q321" i="1" s="1"/>
  <c r="M257" i="1"/>
  <c r="N257" i="1"/>
  <c r="Q257" i="1" s="1"/>
  <c r="Q193" i="1"/>
  <c r="M193" i="1"/>
  <c r="N193" i="1"/>
  <c r="M145" i="1"/>
  <c r="N145" i="1" s="1"/>
  <c r="Q145" i="1" s="1"/>
  <c r="M113" i="1"/>
  <c r="N113" i="1" s="1"/>
  <c r="Q113" i="1" s="1"/>
  <c r="M65" i="1"/>
  <c r="N65" i="1"/>
  <c r="Q65" i="1" s="1"/>
  <c r="Q17" i="1"/>
  <c r="M17" i="1"/>
  <c r="N17" i="1" s="1"/>
  <c r="M479" i="1"/>
  <c r="N479" i="1" s="1"/>
  <c r="Q479" i="1" s="1"/>
  <c r="M471" i="1"/>
  <c r="N471" i="1" s="1"/>
  <c r="Q471" i="1" s="1"/>
  <c r="M467" i="1"/>
  <c r="N467" i="1"/>
  <c r="Q467" i="1" s="1"/>
  <c r="Q459" i="1"/>
  <c r="M459" i="1"/>
  <c r="N459" i="1" s="1"/>
  <c r="M455" i="1"/>
  <c r="N455" i="1" s="1"/>
  <c r="Q455" i="1" s="1"/>
  <c r="M451" i="1"/>
  <c r="N451" i="1" s="1"/>
  <c r="Q451" i="1" s="1"/>
  <c r="M447" i="1"/>
  <c r="N447" i="1"/>
  <c r="Q447" i="1" s="1"/>
  <c r="Q439" i="1"/>
  <c r="M439" i="1"/>
  <c r="N439" i="1" s="1"/>
  <c r="M435" i="1"/>
  <c r="N435" i="1" s="1"/>
  <c r="Q435" i="1" s="1"/>
  <c r="M427" i="1"/>
  <c r="N427" i="1" s="1"/>
  <c r="Q427" i="1" s="1"/>
  <c r="M423" i="1"/>
  <c r="N423" i="1"/>
  <c r="Q423" i="1" s="1"/>
  <c r="Q419" i="1"/>
  <c r="M419" i="1"/>
  <c r="N419" i="1" s="1"/>
  <c r="M415" i="1"/>
  <c r="N415" i="1" s="1"/>
  <c r="Q415" i="1" s="1"/>
  <c r="M407" i="1"/>
  <c r="N407" i="1" s="1"/>
  <c r="Q407" i="1" s="1"/>
  <c r="M403" i="1"/>
  <c r="N403" i="1"/>
  <c r="Q403" i="1" s="1"/>
  <c r="Q395" i="1"/>
  <c r="M395" i="1"/>
  <c r="N395" i="1"/>
  <c r="Q387" i="1"/>
  <c r="M387" i="1"/>
  <c r="N387" i="1" s="1"/>
  <c r="M383" i="1"/>
  <c r="N383" i="1"/>
  <c r="Q383" i="1" s="1"/>
  <c r="M375" i="1"/>
  <c r="N375" i="1"/>
  <c r="Q375" i="1" s="1"/>
  <c r="Q371" i="1"/>
  <c r="M371" i="1"/>
  <c r="N371" i="1"/>
  <c r="Q363" i="1"/>
  <c r="M363" i="1"/>
  <c r="N363" i="1" s="1"/>
  <c r="M355" i="1"/>
  <c r="N355" i="1"/>
  <c r="Q355" i="1" s="1"/>
  <c r="M351" i="1"/>
  <c r="N351" i="1"/>
  <c r="Q351" i="1" s="1"/>
  <c r="Q343" i="1"/>
  <c r="M343" i="1"/>
  <c r="N343" i="1"/>
  <c r="M317" i="1"/>
  <c r="N317" i="1" s="1"/>
  <c r="Q317" i="1" s="1"/>
  <c r="M301" i="1"/>
  <c r="N301" i="1" s="1"/>
  <c r="Q301" i="1" s="1"/>
  <c r="M285" i="1"/>
  <c r="N285" i="1"/>
  <c r="Q285" i="1" s="1"/>
  <c r="Q269" i="1"/>
  <c r="M269" i="1"/>
  <c r="N269" i="1"/>
  <c r="M253" i="1"/>
  <c r="N253" i="1" s="1"/>
  <c r="Q253" i="1" s="1"/>
  <c r="M237" i="1"/>
  <c r="N237" i="1" s="1"/>
  <c r="Q237" i="1" s="1"/>
  <c r="M221" i="1"/>
  <c r="N221" i="1"/>
  <c r="Q221" i="1" s="1"/>
  <c r="Q189" i="1"/>
  <c r="M189" i="1"/>
  <c r="N189" i="1"/>
  <c r="Q173" i="1"/>
  <c r="M173" i="1"/>
  <c r="N173" i="1" s="1"/>
  <c r="M157" i="1"/>
  <c r="N157" i="1"/>
  <c r="Q157" i="1" s="1"/>
  <c r="M125" i="1"/>
  <c r="N125" i="1"/>
  <c r="Q125" i="1" s="1"/>
  <c r="Q109" i="1"/>
  <c r="M109" i="1"/>
  <c r="N109" i="1"/>
  <c r="Q93" i="1"/>
  <c r="M93" i="1"/>
  <c r="N93" i="1" s="1"/>
  <c r="M77" i="1"/>
  <c r="N77" i="1" s="1"/>
  <c r="Q77" i="1" s="1"/>
  <c r="M61" i="1"/>
  <c r="N61" i="1"/>
  <c r="Q61" i="1" s="1"/>
  <c r="Q45" i="1"/>
  <c r="M45" i="1"/>
  <c r="N45" i="1" s="1"/>
  <c r="M13" i="1"/>
  <c r="N13" i="1" s="1"/>
  <c r="Q13" i="1" s="1"/>
  <c r="M472" i="1"/>
  <c r="N472" i="1"/>
  <c r="Q472" i="1" s="1"/>
  <c r="M448" i="1"/>
  <c r="N448" i="1"/>
  <c r="Q448" i="1" s="1"/>
  <c r="Q436" i="1"/>
  <c r="M436" i="1"/>
  <c r="N436" i="1" s="1"/>
  <c r="M424" i="1"/>
  <c r="N424" i="1" s="1"/>
  <c r="Q424" i="1" s="1"/>
  <c r="M408" i="1"/>
  <c r="N408" i="1"/>
  <c r="Q408" i="1" s="1"/>
  <c r="M388" i="1"/>
  <c r="N388" i="1"/>
  <c r="Q388" i="1" s="1"/>
  <c r="Q380" i="1"/>
  <c r="M380" i="1"/>
  <c r="N380" i="1" s="1"/>
  <c r="M368" i="1"/>
  <c r="N368" i="1" s="1"/>
  <c r="Q368" i="1" s="1"/>
  <c r="M356" i="1"/>
  <c r="N356" i="1"/>
  <c r="Q356" i="1" s="1"/>
  <c r="M337" i="1"/>
  <c r="N337" i="1"/>
  <c r="Q337" i="1" s="1"/>
  <c r="M289" i="1"/>
  <c r="N289" i="1" s="1"/>
  <c r="Q289" i="1" s="1"/>
  <c r="M241" i="1"/>
  <c r="N241" i="1" s="1"/>
  <c r="Q241" i="1" s="1"/>
  <c r="M209" i="1"/>
  <c r="N209" i="1"/>
  <c r="Q209" i="1" s="1"/>
  <c r="M161" i="1"/>
  <c r="N161" i="1"/>
  <c r="Q161" i="1" s="1"/>
  <c r="Q97" i="1"/>
  <c r="M97" i="1"/>
  <c r="N97" i="1" s="1"/>
  <c r="M49" i="1"/>
  <c r="N49" i="1" s="1"/>
  <c r="Q49" i="1" s="1"/>
  <c r="M470" i="1"/>
  <c r="N470" i="1"/>
  <c r="Q470" i="1" s="1"/>
  <c r="M466" i="1"/>
  <c r="N466" i="1"/>
  <c r="Q466" i="1" s="1"/>
  <c r="Q462" i="1"/>
  <c r="M462" i="1"/>
  <c r="N462" i="1" s="1"/>
  <c r="M458" i="1"/>
  <c r="N458" i="1" s="1"/>
  <c r="Q458" i="1" s="1"/>
  <c r="M454" i="1"/>
  <c r="N454" i="1"/>
  <c r="Q454" i="1" s="1"/>
  <c r="M450" i="1"/>
  <c r="N450" i="1"/>
  <c r="Q450" i="1" s="1"/>
  <c r="Q446" i="1"/>
  <c r="M446" i="1"/>
  <c r="N446" i="1" s="1"/>
  <c r="M442" i="1"/>
  <c r="N442" i="1" s="1"/>
  <c r="Q442" i="1" s="1"/>
  <c r="M438" i="1"/>
  <c r="N438" i="1"/>
  <c r="Q438" i="1" s="1"/>
  <c r="M434" i="1"/>
  <c r="N434" i="1"/>
  <c r="Q434" i="1" s="1"/>
  <c r="M430" i="1"/>
  <c r="N430" i="1" s="1"/>
  <c r="Q430" i="1" s="1"/>
  <c r="M426" i="1"/>
  <c r="N426" i="1" s="1"/>
  <c r="Q426" i="1" s="1"/>
  <c r="M406" i="1"/>
  <c r="N406" i="1"/>
  <c r="Q406" i="1" s="1"/>
  <c r="M402" i="1"/>
  <c r="N402" i="1"/>
  <c r="Q402" i="1" s="1"/>
  <c r="Q398" i="1"/>
  <c r="M398" i="1"/>
  <c r="N398" i="1" s="1"/>
  <c r="M394" i="1"/>
  <c r="N394" i="1" s="1"/>
  <c r="Q394" i="1" s="1"/>
  <c r="M390" i="1"/>
  <c r="N390" i="1"/>
  <c r="Q390" i="1" s="1"/>
  <c r="M386" i="1"/>
  <c r="N386" i="1"/>
  <c r="Q386" i="1" s="1"/>
  <c r="Q382" i="1"/>
  <c r="M382" i="1"/>
  <c r="N382" i="1" s="1"/>
  <c r="M378" i="1"/>
  <c r="N378" i="1" s="1"/>
  <c r="Q378" i="1" s="1"/>
  <c r="M370" i="1"/>
  <c r="N370" i="1"/>
  <c r="Q370" i="1" s="1"/>
  <c r="M366" i="1"/>
  <c r="N366" i="1"/>
  <c r="Q366" i="1" s="1"/>
  <c r="Q362" i="1"/>
  <c r="M362" i="1"/>
  <c r="N362" i="1" s="1"/>
  <c r="M358" i="1"/>
  <c r="N358" i="1" s="1"/>
  <c r="Q358" i="1" s="1"/>
  <c r="M342" i="1"/>
  <c r="N342" i="1"/>
  <c r="Q342" i="1" s="1"/>
  <c r="M313" i="1"/>
  <c r="N313" i="1"/>
  <c r="Q313" i="1" s="1"/>
  <c r="M297" i="1"/>
  <c r="N297" i="1" s="1"/>
  <c r="Q297" i="1" s="1"/>
  <c r="M281" i="1"/>
  <c r="N281" i="1" s="1"/>
  <c r="Q281" i="1" s="1"/>
  <c r="M265" i="1"/>
  <c r="N265" i="1"/>
  <c r="Q265" i="1" s="1"/>
  <c r="M249" i="1"/>
  <c r="N249" i="1"/>
  <c r="Q249" i="1" s="1"/>
  <c r="Q233" i="1"/>
  <c r="M233" i="1"/>
  <c r="N233" i="1" s="1"/>
  <c r="M217" i="1"/>
  <c r="N217" i="1" s="1"/>
  <c r="Q217" i="1" s="1"/>
  <c r="M201" i="1"/>
  <c r="N201" i="1"/>
  <c r="Q201" i="1" s="1"/>
  <c r="M153" i="1"/>
  <c r="N153" i="1"/>
  <c r="Q153" i="1" s="1"/>
  <c r="Q137" i="1"/>
  <c r="M137" i="1"/>
  <c r="N137" i="1" s="1"/>
  <c r="M105" i="1"/>
  <c r="N105" i="1" s="1"/>
  <c r="Q105" i="1" s="1"/>
  <c r="M89" i="1"/>
  <c r="N89" i="1"/>
  <c r="Q89" i="1" s="1"/>
  <c r="M57" i="1"/>
  <c r="N57" i="1"/>
  <c r="Q57" i="1" s="1"/>
  <c r="Q25" i="1"/>
  <c r="M25" i="1"/>
  <c r="N25" i="1" s="1"/>
  <c r="M9" i="1"/>
  <c r="N9" i="1" s="1"/>
  <c r="Q9" i="1" s="1"/>
  <c r="M480" i="1"/>
  <c r="N480" i="1"/>
  <c r="Q480" i="1" s="1"/>
  <c r="M468" i="1"/>
  <c r="N468" i="1"/>
  <c r="Q468" i="1" s="1"/>
  <c r="M456" i="1"/>
  <c r="N456" i="1" s="1"/>
  <c r="Q456" i="1" s="1"/>
  <c r="M416" i="1"/>
  <c r="N416" i="1" s="1"/>
  <c r="Q416" i="1" s="1"/>
  <c r="M400" i="1"/>
  <c r="N400" i="1"/>
  <c r="Q400" i="1" s="1"/>
  <c r="M392" i="1"/>
  <c r="N392" i="1"/>
  <c r="Q392" i="1" s="1"/>
  <c r="Q352" i="1"/>
  <c r="M352" i="1"/>
  <c r="N352" i="1" s="1"/>
  <c r="M225" i="1"/>
  <c r="N225" i="1" s="1"/>
  <c r="Q225" i="1" s="1"/>
  <c r="M177" i="1"/>
  <c r="N177" i="1"/>
  <c r="Q177" i="1" s="1"/>
  <c r="M129" i="1"/>
  <c r="N129" i="1"/>
  <c r="Q129" i="1" s="1"/>
  <c r="Q81" i="1"/>
  <c r="M81" i="1"/>
  <c r="N81" i="1" s="1"/>
  <c r="M33" i="1"/>
  <c r="N33" i="1" s="1"/>
  <c r="Q33" i="1" s="1"/>
  <c r="M481" i="1"/>
  <c r="N481" i="1"/>
  <c r="Q481" i="1" s="1"/>
  <c r="M477" i="1"/>
  <c r="N477" i="1"/>
  <c r="Q477" i="1" s="1"/>
  <c r="Q473" i="1"/>
  <c r="M473" i="1"/>
  <c r="N473" i="1" s="1"/>
  <c r="M469" i="1"/>
  <c r="N469" i="1" s="1"/>
  <c r="Q469" i="1" s="1"/>
  <c r="M465" i="1"/>
  <c r="N465" i="1"/>
  <c r="Q465" i="1" s="1"/>
  <c r="M461" i="1"/>
  <c r="N461" i="1"/>
  <c r="Q461" i="1" s="1"/>
  <c r="M457" i="1"/>
  <c r="N457" i="1" s="1"/>
  <c r="Q457" i="1" s="1"/>
  <c r="M453" i="1"/>
  <c r="N453" i="1" s="1"/>
  <c r="Q453" i="1" s="1"/>
  <c r="M449" i="1"/>
  <c r="N449" i="1"/>
  <c r="Q449" i="1" s="1"/>
  <c r="M445" i="1"/>
  <c r="N445" i="1"/>
  <c r="Q445" i="1" s="1"/>
  <c r="Q441" i="1"/>
  <c r="M441" i="1"/>
  <c r="N441" i="1" s="1"/>
  <c r="M437" i="1"/>
  <c r="N437" i="1" s="1"/>
  <c r="Q437" i="1" s="1"/>
  <c r="M433" i="1"/>
  <c r="N433" i="1"/>
  <c r="Q433" i="1" s="1"/>
  <c r="M429" i="1"/>
  <c r="N429" i="1"/>
  <c r="Q429" i="1" s="1"/>
  <c r="Q425" i="1"/>
  <c r="M425" i="1"/>
  <c r="N425" i="1" s="1"/>
  <c r="M421" i="1"/>
  <c r="N421" i="1" s="1"/>
  <c r="Q421" i="1" s="1"/>
  <c r="M417" i="1"/>
  <c r="N417" i="1"/>
  <c r="Q417" i="1" s="1"/>
  <c r="M413" i="1"/>
  <c r="N413" i="1"/>
  <c r="Q413" i="1" s="1"/>
  <c r="Q409" i="1"/>
  <c r="M409" i="1"/>
  <c r="N409" i="1" s="1"/>
  <c r="M405" i="1"/>
  <c r="N405" i="1" s="1"/>
  <c r="Q405" i="1" s="1"/>
  <c r="M401" i="1"/>
  <c r="N401" i="1"/>
  <c r="Q401" i="1" s="1"/>
  <c r="M397" i="1"/>
  <c r="N397" i="1"/>
  <c r="Q397" i="1" s="1"/>
  <c r="M393" i="1"/>
  <c r="N393" i="1" s="1"/>
  <c r="Q393" i="1" s="1"/>
  <c r="M389" i="1"/>
  <c r="N389" i="1" s="1"/>
  <c r="Q389" i="1" s="1"/>
  <c r="M377" i="1"/>
  <c r="N377" i="1"/>
  <c r="Q377" i="1" s="1"/>
  <c r="M373" i="1"/>
  <c r="N373" i="1"/>
  <c r="Q373" i="1" s="1"/>
  <c r="Q369" i="1"/>
  <c r="M369" i="1"/>
  <c r="N369" i="1" s="1"/>
  <c r="M365" i="1"/>
  <c r="N365" i="1" s="1"/>
  <c r="Q365" i="1" s="1"/>
  <c r="M357" i="1"/>
  <c r="N357" i="1"/>
  <c r="Q357" i="1" s="1"/>
  <c r="M345" i="1"/>
  <c r="N345" i="1"/>
  <c r="Q345" i="1" s="1"/>
  <c r="Q341" i="1"/>
  <c r="M341" i="1"/>
  <c r="N341" i="1"/>
  <c r="M309" i="1"/>
  <c r="N309" i="1" s="1"/>
  <c r="Q309" i="1" s="1"/>
  <c r="M293" i="1"/>
  <c r="N293" i="1"/>
  <c r="Q293" i="1" s="1"/>
  <c r="M277" i="1"/>
  <c r="N277" i="1"/>
  <c r="Q277" i="1" s="1"/>
  <c r="Q261" i="1"/>
  <c r="M261" i="1"/>
  <c r="N261" i="1"/>
  <c r="M245" i="1"/>
  <c r="N245" i="1" s="1"/>
  <c r="Q245" i="1" s="1"/>
  <c r="M229" i="1"/>
  <c r="N229" i="1"/>
  <c r="Q229" i="1" s="1"/>
  <c r="M197" i="1"/>
  <c r="N197" i="1"/>
  <c r="Q197" i="1" s="1"/>
  <c r="Q181" i="1"/>
  <c r="M181" i="1"/>
  <c r="N181" i="1"/>
  <c r="M165" i="1"/>
  <c r="N165" i="1" s="1"/>
  <c r="Q165" i="1" s="1"/>
  <c r="M149" i="1"/>
  <c r="N149" i="1"/>
  <c r="Q149" i="1" s="1"/>
  <c r="M133" i="1"/>
  <c r="N133" i="1"/>
  <c r="Q133" i="1" s="1"/>
  <c r="Q117" i="1"/>
  <c r="M117" i="1"/>
  <c r="N117" i="1"/>
  <c r="M101" i="1"/>
  <c r="N101" i="1" s="1"/>
  <c r="Q101" i="1" s="1"/>
  <c r="M85" i="1"/>
  <c r="N85" i="1"/>
  <c r="Q85" i="1" s="1"/>
  <c r="M69" i="1"/>
  <c r="N69" i="1"/>
  <c r="Q69" i="1" s="1"/>
  <c r="Q53" i="1"/>
  <c r="M53" i="1"/>
  <c r="N53" i="1"/>
  <c r="M37" i="1"/>
  <c r="N37" i="1" s="1"/>
  <c r="Q37" i="1" s="1"/>
  <c r="M21" i="1"/>
  <c r="N21" i="1"/>
  <c r="Q21" i="1" s="1"/>
  <c r="M5" i="1"/>
  <c r="N5" i="1"/>
  <c r="Q5" i="1" s="1"/>
  <c r="Q340" i="1"/>
  <c r="M340" i="1"/>
  <c r="N340" i="1"/>
  <c r="M336" i="1"/>
  <c r="N336" i="1" s="1"/>
  <c r="Q336" i="1" s="1"/>
  <c r="M328" i="1"/>
  <c r="N328" i="1"/>
  <c r="Q328" i="1" s="1"/>
  <c r="M324" i="1"/>
  <c r="N324" i="1"/>
  <c r="Q324" i="1" s="1"/>
  <c r="Q320" i="1"/>
  <c r="M320" i="1"/>
  <c r="N320" i="1"/>
  <c r="M316" i="1"/>
  <c r="N316" i="1" s="1"/>
  <c r="Q316" i="1" s="1"/>
  <c r="M312" i="1"/>
  <c r="N312" i="1"/>
  <c r="Q312" i="1" s="1"/>
  <c r="M308" i="1"/>
  <c r="N308" i="1" s="1"/>
  <c r="Q308" i="1" s="1"/>
  <c r="Q304" i="1"/>
  <c r="M304" i="1"/>
  <c r="N304" i="1"/>
  <c r="M300" i="1"/>
  <c r="N300" i="1" s="1"/>
  <c r="Q300" i="1" s="1"/>
  <c r="M296" i="1"/>
  <c r="N296" i="1"/>
  <c r="Q296" i="1" s="1"/>
  <c r="M292" i="1"/>
  <c r="N292" i="1" s="1"/>
  <c r="Q292" i="1" s="1"/>
  <c r="Q288" i="1"/>
  <c r="M288" i="1"/>
  <c r="N288" i="1"/>
  <c r="M284" i="1"/>
  <c r="N284" i="1" s="1"/>
  <c r="Q284" i="1" s="1"/>
  <c r="M280" i="1"/>
  <c r="N280" i="1"/>
  <c r="Q280" i="1" s="1"/>
  <c r="M276" i="1"/>
  <c r="N276" i="1" s="1"/>
  <c r="Q276" i="1" s="1"/>
  <c r="Q268" i="1"/>
  <c r="M268" i="1"/>
  <c r="N268" i="1"/>
  <c r="M260" i="1"/>
  <c r="N260" i="1" s="1"/>
  <c r="Q260" i="1" s="1"/>
  <c r="M256" i="1"/>
  <c r="N256" i="1"/>
  <c r="Q256" i="1" s="1"/>
  <c r="M248" i="1"/>
  <c r="N248" i="1" s="1"/>
  <c r="Q248" i="1" s="1"/>
  <c r="Q244" i="1"/>
  <c r="M244" i="1"/>
  <c r="N244" i="1"/>
  <c r="M236" i="1"/>
  <c r="N236" i="1" s="1"/>
  <c r="Q236" i="1" s="1"/>
  <c r="M228" i="1"/>
  <c r="N228" i="1"/>
  <c r="Q228" i="1" s="1"/>
  <c r="M224" i="1"/>
  <c r="N224" i="1" s="1"/>
  <c r="Q224" i="1" s="1"/>
  <c r="Q216" i="1"/>
  <c r="M216" i="1"/>
  <c r="N216" i="1"/>
  <c r="M212" i="1"/>
  <c r="N212" i="1" s="1"/>
  <c r="Q212" i="1" s="1"/>
  <c r="M204" i="1"/>
  <c r="N204" i="1"/>
  <c r="Q204" i="1" s="1"/>
  <c r="M196" i="1"/>
  <c r="N196" i="1" s="1"/>
  <c r="Q196" i="1" s="1"/>
  <c r="M192" i="1"/>
  <c r="N192" i="1"/>
  <c r="Q192" i="1" s="1"/>
  <c r="M184" i="1"/>
  <c r="N184" i="1" s="1"/>
  <c r="Q184" i="1" s="1"/>
  <c r="M180" i="1"/>
  <c r="N180" i="1"/>
  <c r="Q180" i="1" s="1"/>
  <c r="M172" i="1"/>
  <c r="N172" i="1" s="1"/>
  <c r="Q172" i="1" s="1"/>
  <c r="M164" i="1"/>
  <c r="N164" i="1"/>
  <c r="Q164" i="1" s="1"/>
  <c r="Q160" i="1"/>
  <c r="M160" i="1"/>
  <c r="N160" i="1" s="1"/>
  <c r="M152" i="1"/>
  <c r="N152" i="1" s="1"/>
  <c r="Q152" i="1" s="1"/>
  <c r="M148" i="1"/>
  <c r="N148" i="1"/>
  <c r="Q148" i="1" s="1"/>
  <c r="Q140" i="1"/>
  <c r="M140" i="1"/>
  <c r="N140" i="1"/>
  <c r="Q132" i="1"/>
  <c r="M132" i="1"/>
  <c r="N132" i="1" s="1"/>
  <c r="M128" i="1"/>
  <c r="N128" i="1"/>
  <c r="Q128" i="1" s="1"/>
  <c r="M120" i="1"/>
  <c r="N120" i="1" s="1"/>
  <c r="Q120" i="1" s="1"/>
  <c r="M116" i="1"/>
  <c r="N116" i="1" s="1"/>
  <c r="Q116" i="1" s="1"/>
  <c r="M108" i="1"/>
  <c r="N108" i="1"/>
  <c r="Q108" i="1" s="1"/>
  <c r="M100" i="1"/>
  <c r="N100" i="1" s="1"/>
  <c r="Q100" i="1" s="1"/>
  <c r="M96" i="1"/>
  <c r="N96" i="1" s="1"/>
  <c r="Q96" i="1" s="1"/>
  <c r="M88" i="1"/>
  <c r="N88" i="1" s="1"/>
  <c r="Q88" i="1" s="1"/>
  <c r="M80" i="1"/>
  <c r="N80" i="1"/>
  <c r="Q80" i="1" s="1"/>
  <c r="M72" i="1"/>
  <c r="N72" i="1" s="1"/>
  <c r="Q72" i="1" s="1"/>
  <c r="M64" i="1"/>
  <c r="N64" i="1" s="1"/>
  <c r="Q64" i="1" s="1"/>
  <c r="M60" i="1"/>
  <c r="N60" i="1" s="1"/>
  <c r="Q60" i="1" s="1"/>
  <c r="M52" i="1"/>
  <c r="N52" i="1"/>
  <c r="Q52" i="1" s="1"/>
  <c r="M48" i="1"/>
  <c r="N48" i="1" s="1"/>
  <c r="Q48" i="1" s="1"/>
  <c r="M40" i="1"/>
  <c r="N40" i="1" s="1"/>
  <c r="Q40" i="1" s="1"/>
  <c r="M32" i="1"/>
  <c r="N32" i="1" s="1"/>
  <c r="Q32" i="1" s="1"/>
  <c r="M28" i="1"/>
  <c r="N28" i="1"/>
  <c r="Q28" i="1" s="1"/>
  <c r="M20" i="1"/>
  <c r="N20" i="1" s="1"/>
  <c r="Q20" i="1" s="1"/>
  <c r="M16" i="1"/>
  <c r="N16" i="1" s="1"/>
  <c r="Q16" i="1" s="1"/>
  <c r="M8" i="1"/>
  <c r="N8" i="1" s="1"/>
  <c r="Q8" i="1" s="1"/>
  <c r="M339" i="1"/>
  <c r="N339" i="1"/>
  <c r="Q339" i="1" s="1"/>
  <c r="M335" i="1"/>
  <c r="N335" i="1" s="1"/>
  <c r="Q335" i="1" s="1"/>
  <c r="M331" i="1"/>
  <c r="N331" i="1" s="1"/>
  <c r="Q331" i="1" s="1"/>
  <c r="M327" i="1"/>
  <c r="N327" i="1" s="1"/>
  <c r="Q327" i="1" s="1"/>
  <c r="M323" i="1"/>
  <c r="N323" i="1"/>
  <c r="Q323" i="1" s="1"/>
  <c r="M319" i="1"/>
  <c r="N319" i="1" s="1"/>
  <c r="Q319" i="1" s="1"/>
  <c r="M315" i="1"/>
  <c r="N315" i="1" s="1"/>
  <c r="Q315" i="1" s="1"/>
  <c r="M311" i="1"/>
  <c r="N311" i="1" s="1"/>
  <c r="Q311" i="1" s="1"/>
  <c r="M307" i="1"/>
  <c r="N307" i="1"/>
  <c r="Q307" i="1" s="1"/>
  <c r="M303" i="1"/>
  <c r="N303" i="1" s="1"/>
  <c r="Q303" i="1" s="1"/>
  <c r="M299" i="1"/>
  <c r="N299" i="1" s="1"/>
  <c r="Q299" i="1" s="1"/>
  <c r="M295" i="1"/>
  <c r="N295" i="1" s="1"/>
  <c r="Q295" i="1" s="1"/>
  <c r="M291" i="1"/>
  <c r="N291" i="1"/>
  <c r="Q291" i="1" s="1"/>
  <c r="M287" i="1"/>
  <c r="N287" i="1" s="1"/>
  <c r="Q287" i="1" s="1"/>
  <c r="M283" i="1"/>
  <c r="N283" i="1" s="1"/>
  <c r="Q283" i="1" s="1"/>
  <c r="M279" i="1"/>
  <c r="N279" i="1" s="1"/>
  <c r="Q279" i="1" s="1"/>
  <c r="M263" i="1"/>
  <c r="N263" i="1"/>
  <c r="Q263" i="1" s="1"/>
  <c r="M255" i="1"/>
  <c r="N255" i="1" s="1"/>
  <c r="Q255" i="1" s="1"/>
  <c r="M251" i="1"/>
  <c r="N251" i="1" s="1"/>
  <c r="Q251" i="1" s="1"/>
  <c r="M247" i="1"/>
  <c r="N247" i="1" s="1"/>
  <c r="Q247" i="1" s="1"/>
  <c r="M239" i="1"/>
  <c r="N239" i="1"/>
  <c r="Q239" i="1" s="1"/>
  <c r="M235" i="1"/>
  <c r="N235" i="1" s="1"/>
  <c r="Q235" i="1" s="1"/>
  <c r="M227" i="1"/>
  <c r="N227" i="1" s="1"/>
  <c r="Q227" i="1" s="1"/>
  <c r="M223" i="1"/>
  <c r="N223" i="1" s="1"/>
  <c r="Q223" i="1" s="1"/>
  <c r="M215" i="1"/>
  <c r="N215" i="1"/>
  <c r="Q215" i="1" s="1"/>
  <c r="M207" i="1"/>
  <c r="N207" i="1" s="1"/>
  <c r="Q207" i="1" s="1"/>
  <c r="M203" i="1"/>
  <c r="N203" i="1" s="1"/>
  <c r="Q203" i="1" s="1"/>
  <c r="M195" i="1"/>
  <c r="N195" i="1" s="1"/>
  <c r="Q195" i="1" s="1"/>
  <c r="M191" i="1"/>
  <c r="N191" i="1"/>
  <c r="Q191" i="1" s="1"/>
  <c r="M183" i="1"/>
  <c r="N183" i="1" s="1"/>
  <c r="Q183" i="1" s="1"/>
  <c r="M171" i="1"/>
  <c r="N171" i="1" s="1"/>
  <c r="Q171" i="1" s="1"/>
  <c r="M167" i="1"/>
  <c r="N167" i="1" s="1"/>
  <c r="Q167" i="1" s="1"/>
  <c r="M159" i="1"/>
  <c r="N159" i="1"/>
  <c r="Q159" i="1" s="1"/>
  <c r="M155" i="1"/>
  <c r="N155" i="1" s="1"/>
  <c r="Q155" i="1" s="1"/>
  <c r="M147" i="1"/>
  <c r="N147" i="1" s="1"/>
  <c r="Q147" i="1" s="1"/>
  <c r="M139" i="1"/>
  <c r="N139" i="1" s="1"/>
  <c r="Q139" i="1" s="1"/>
  <c r="M135" i="1"/>
  <c r="N135" i="1"/>
  <c r="Q135" i="1" s="1"/>
  <c r="M127" i="1"/>
  <c r="N127" i="1" s="1"/>
  <c r="Q127" i="1" s="1"/>
  <c r="M123" i="1"/>
  <c r="N123" i="1" s="1"/>
  <c r="Q123" i="1" s="1"/>
  <c r="M115" i="1"/>
  <c r="N115" i="1" s="1"/>
  <c r="Q115" i="1" s="1"/>
  <c r="M107" i="1"/>
  <c r="N107" i="1"/>
  <c r="Q107" i="1" s="1"/>
  <c r="M103" i="1"/>
  <c r="N103" i="1" s="1"/>
  <c r="Q103" i="1" s="1"/>
  <c r="M95" i="1"/>
  <c r="N95" i="1" s="1"/>
  <c r="Q95" i="1" s="1"/>
  <c r="M91" i="1"/>
  <c r="N91" i="1" s="1"/>
  <c r="Q91" i="1" s="1"/>
  <c r="M83" i="1"/>
  <c r="N83" i="1"/>
  <c r="Q83" i="1" s="1"/>
  <c r="M75" i="1"/>
  <c r="N75" i="1" s="1"/>
  <c r="Q75" i="1" s="1"/>
  <c r="M71" i="1"/>
  <c r="N71" i="1" s="1"/>
  <c r="Q71" i="1" s="1"/>
  <c r="M63" i="1"/>
  <c r="N63" i="1" s="1"/>
  <c r="Q63" i="1" s="1"/>
  <c r="M59" i="1"/>
  <c r="N59" i="1"/>
  <c r="Q59" i="1" s="1"/>
  <c r="M51" i="1"/>
  <c r="N51" i="1" s="1"/>
  <c r="Q51" i="1" s="1"/>
  <c r="M43" i="1"/>
  <c r="N43" i="1" s="1"/>
  <c r="Q43" i="1" s="1"/>
  <c r="M39" i="1"/>
  <c r="N39" i="1" s="1"/>
  <c r="Q39" i="1" s="1"/>
  <c r="M31" i="1"/>
  <c r="N31" i="1"/>
  <c r="Q31" i="1" s="1"/>
  <c r="M27" i="1"/>
  <c r="N27" i="1" s="1"/>
  <c r="Q27" i="1" s="1"/>
  <c r="M19" i="1"/>
  <c r="N19" i="1" s="1"/>
  <c r="Q19" i="1" s="1"/>
  <c r="M11" i="1"/>
  <c r="N11" i="1" s="1"/>
  <c r="Q11" i="1" s="1"/>
  <c r="M7" i="1"/>
  <c r="N7" i="1"/>
  <c r="Q7" i="1" s="1"/>
  <c r="M338" i="1"/>
  <c r="N338" i="1" s="1"/>
  <c r="Q338" i="1" s="1"/>
  <c r="M334" i="1"/>
  <c r="N334" i="1" s="1"/>
  <c r="Q334" i="1" s="1"/>
  <c r="M330" i="1"/>
  <c r="N330" i="1" s="1"/>
  <c r="Q330" i="1" s="1"/>
  <c r="M326" i="1"/>
  <c r="N326" i="1"/>
  <c r="Q326" i="1" s="1"/>
  <c r="M322" i="1"/>
  <c r="N322" i="1" s="1"/>
  <c r="Q322" i="1" s="1"/>
  <c r="M310" i="1"/>
  <c r="N310" i="1" s="1"/>
  <c r="Q310" i="1" s="1"/>
  <c r="M298" i="1"/>
  <c r="N298" i="1" s="1"/>
  <c r="Q298" i="1" s="1"/>
  <c r="M294" i="1"/>
  <c r="N294" i="1"/>
  <c r="Q294" i="1" s="1"/>
  <c r="M282" i="1"/>
  <c r="N282" i="1" s="1"/>
  <c r="Q282" i="1" s="1"/>
  <c r="M274" i="1"/>
  <c r="N274" i="1" s="1"/>
  <c r="Q274" i="1" s="1"/>
  <c r="M270" i="1"/>
  <c r="N270" i="1" s="1"/>
  <c r="Q270" i="1" s="1"/>
  <c r="M266" i="1"/>
  <c r="N266" i="1"/>
  <c r="Q266" i="1" s="1"/>
  <c r="M262" i="1"/>
  <c r="N262" i="1" s="1"/>
  <c r="Q262" i="1" s="1"/>
  <c r="M258" i="1"/>
  <c r="N258" i="1" s="1"/>
  <c r="Q258" i="1" s="1"/>
  <c r="M254" i="1"/>
  <c r="N254" i="1" s="1"/>
  <c r="Q254" i="1" s="1"/>
  <c r="M250" i="1"/>
  <c r="N250" i="1"/>
  <c r="Q250" i="1" s="1"/>
  <c r="M246" i="1"/>
  <c r="N246" i="1" s="1"/>
  <c r="Q246" i="1" s="1"/>
  <c r="M234" i="1"/>
  <c r="N234" i="1" s="1"/>
  <c r="Q234" i="1" s="1"/>
  <c r="M230" i="1"/>
  <c r="N230" i="1" s="1"/>
  <c r="Q230" i="1" s="1"/>
  <c r="M226" i="1"/>
  <c r="N226" i="1"/>
  <c r="Q226" i="1" s="1"/>
  <c r="M222" i="1"/>
  <c r="N222" i="1" s="1"/>
  <c r="Q222" i="1" s="1"/>
  <c r="M218" i="1"/>
  <c r="N218" i="1" s="1"/>
  <c r="Q218" i="1" s="1"/>
  <c r="M214" i="1"/>
  <c r="N214" i="1" s="1"/>
  <c r="Q214" i="1" s="1"/>
  <c r="M210" i="1"/>
  <c r="N210" i="1"/>
  <c r="Q210" i="1" s="1"/>
  <c r="M206" i="1"/>
  <c r="N206" i="1" s="1"/>
  <c r="Q206" i="1" s="1"/>
  <c r="M198" i="1"/>
  <c r="N198" i="1" s="1"/>
  <c r="Q198" i="1" s="1"/>
  <c r="M194" i="1"/>
  <c r="N194" i="1" s="1"/>
  <c r="Q194" i="1" s="1"/>
  <c r="M190" i="1"/>
  <c r="N190" i="1"/>
  <c r="Q190" i="1" s="1"/>
  <c r="M186" i="1"/>
  <c r="N186" i="1" s="1"/>
  <c r="Q186" i="1" s="1"/>
  <c r="M182" i="1"/>
  <c r="N182" i="1" s="1"/>
  <c r="Q182" i="1" s="1"/>
  <c r="M174" i="1"/>
  <c r="N174" i="1" s="1"/>
  <c r="Q174" i="1" s="1"/>
  <c r="M170" i="1"/>
  <c r="N170" i="1"/>
  <c r="Q170" i="1" s="1"/>
  <c r="M166" i="1"/>
  <c r="N166" i="1" s="1"/>
  <c r="Q166" i="1" s="1"/>
  <c r="M154" i="1"/>
  <c r="N154" i="1" s="1"/>
  <c r="Q154" i="1" s="1"/>
  <c r="M146" i="1"/>
  <c r="N146" i="1" s="1"/>
  <c r="Q146" i="1" s="1"/>
  <c r="M142" i="1"/>
  <c r="N142" i="1"/>
  <c r="Q142" i="1" s="1"/>
  <c r="M138" i="1"/>
  <c r="N138" i="1" s="1"/>
  <c r="Q138" i="1" s="1"/>
  <c r="M134" i="1"/>
  <c r="N134" i="1" s="1"/>
  <c r="Q134" i="1" s="1"/>
  <c r="M126" i="1"/>
  <c r="N126" i="1" s="1"/>
  <c r="Q126" i="1" s="1"/>
  <c r="M110" i="1"/>
  <c r="N110" i="1"/>
  <c r="Q110" i="1" s="1"/>
  <c r="M106" i="1"/>
  <c r="N106" i="1" s="1"/>
  <c r="Q106" i="1" s="1"/>
  <c r="M98" i="1"/>
  <c r="N98" i="1" s="1"/>
  <c r="Q98" i="1" s="1"/>
  <c r="M94" i="1"/>
  <c r="N94" i="1" s="1"/>
  <c r="Q94" i="1" s="1"/>
  <c r="M86" i="1"/>
  <c r="N86" i="1"/>
  <c r="Q86" i="1" s="1"/>
  <c r="M78" i="1"/>
  <c r="N78" i="1" s="1"/>
  <c r="Q78" i="1" s="1"/>
  <c r="M74" i="1"/>
  <c r="N74" i="1" s="1"/>
  <c r="Q74" i="1" s="1"/>
  <c r="M66" i="1"/>
  <c r="N66" i="1" s="1"/>
  <c r="Q66" i="1" s="1"/>
  <c r="M62" i="1"/>
  <c r="N62" i="1"/>
  <c r="Q62" i="1" s="1"/>
  <c r="M54" i="1"/>
  <c r="N54" i="1" s="1"/>
  <c r="Q54" i="1" s="1"/>
  <c r="M46" i="1"/>
  <c r="N46" i="1" s="1"/>
  <c r="Q46" i="1" s="1"/>
  <c r="M42" i="1"/>
  <c r="N42" i="1" s="1"/>
  <c r="Q42" i="1" s="1"/>
  <c r="M34" i="1"/>
  <c r="N34" i="1"/>
  <c r="Q34" i="1" s="1"/>
  <c r="M30" i="1"/>
  <c r="N30" i="1" s="1"/>
  <c r="Q30" i="1" s="1"/>
  <c r="M22" i="1"/>
  <c r="N22" i="1" s="1"/>
  <c r="Q22" i="1" s="1"/>
  <c r="M14" i="1"/>
  <c r="N14" i="1" s="1"/>
  <c r="Q14" i="1" s="1"/>
  <c r="M10" i="1"/>
  <c r="N10" i="1"/>
  <c r="Q10" i="1" s="1"/>
  <c r="M2" i="1"/>
  <c r="N2" i="1" s="1"/>
  <c r="Q2" i="1" s="1"/>
</calcChain>
</file>

<file path=xl/sharedStrings.xml><?xml version="1.0" encoding="utf-8"?>
<sst xmlns="http://schemas.openxmlformats.org/spreadsheetml/2006/main" count="2077" uniqueCount="109">
  <si>
    <t>Product_ID</t>
  </si>
  <si>
    <t>Product_Name</t>
  </si>
  <si>
    <t>Category</t>
  </si>
  <si>
    <t>Region</t>
  </si>
  <si>
    <t>Month</t>
  </si>
  <si>
    <t>Opening_Stock</t>
  </si>
  <si>
    <t>Units_Sold</t>
  </si>
  <si>
    <t>Closing_Stock</t>
  </si>
  <si>
    <t>Cost_Price</t>
  </si>
  <si>
    <t>Selling_Price</t>
  </si>
  <si>
    <t>P002</t>
  </si>
  <si>
    <t>P001</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</si>
  <si>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</si>
  <si>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</si>
  <si>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</si>
  <si>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</si>
  <si>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</si>
  <si>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</si>
  <si>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</si>
  <si>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</si>
  <si>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</si>
  <si>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</si>
  <si>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</si>
  <si>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</si>
  <si>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</si>
  <si>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</si>
  <si>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</si>
  <si>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</si>
  <si>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</si>
  <si>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</si>
  <si>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</si>
  <si>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</si>
  <si>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</si>
  <si>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</si>
  <si>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</si>
  <si>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</si>
  <si>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</si>
  <si>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</si>
  <si>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</si>
  <si>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 xml:space="preserve">Laptop </t>
  </si>
  <si>
    <t>Mobile</t>
  </si>
  <si>
    <t>Dining Table</t>
  </si>
  <si>
    <t>Rice Pack</t>
  </si>
  <si>
    <t>T-Shirt</t>
  </si>
  <si>
    <t>Electronics</t>
  </si>
  <si>
    <t>Furniture</t>
  </si>
  <si>
    <t>Grocery</t>
  </si>
  <si>
    <t>Clothing</t>
  </si>
  <si>
    <t>Tv</t>
  </si>
  <si>
    <t>Headphones</t>
  </si>
  <si>
    <t>Sofa</t>
  </si>
  <si>
    <t>Chair</t>
  </si>
  <si>
    <t>Bed</t>
  </si>
  <si>
    <t>Sugar</t>
  </si>
  <si>
    <t>oil</t>
  </si>
  <si>
    <t>Flour</t>
  </si>
  <si>
    <t>Jeans</t>
  </si>
  <si>
    <t>Jacket</t>
  </si>
  <si>
    <t>Shirt</t>
  </si>
  <si>
    <t>Belt</t>
  </si>
  <si>
    <t>Wallet</t>
  </si>
  <si>
    <t>Watch</t>
  </si>
  <si>
    <t>Bag</t>
  </si>
  <si>
    <t>Accessories</t>
  </si>
  <si>
    <t>North</t>
  </si>
  <si>
    <t>South</t>
  </si>
  <si>
    <t>East</t>
  </si>
  <si>
    <t>West</t>
  </si>
  <si>
    <t>Revenue</t>
  </si>
  <si>
    <t>Total cost</t>
  </si>
  <si>
    <t>profit</t>
  </si>
  <si>
    <t>Profit margin</t>
  </si>
  <si>
    <t>Slow moving flag</t>
  </si>
  <si>
    <t>Dead Stock flag</t>
  </si>
  <si>
    <t>Low Margin Risk</t>
  </si>
  <si>
    <t>Overstock Risk</t>
  </si>
  <si>
    <t>Row Labels</t>
  </si>
  <si>
    <t>Grand Total</t>
  </si>
  <si>
    <t>Sum of Closing_Stock</t>
  </si>
  <si>
    <t>Sum of profit</t>
  </si>
  <si>
    <t>Normal</t>
  </si>
  <si>
    <t>Slow Moving</t>
  </si>
  <si>
    <t>Count of Product_ID</t>
  </si>
  <si>
    <t>Average_Inventory</t>
  </si>
  <si>
    <t>Average of Average_Inventory</t>
  </si>
  <si>
    <t>Sum of Revenue</t>
  </si>
  <si>
    <t>Aging Bucket</t>
  </si>
  <si>
    <t>Inventory_Value</t>
  </si>
  <si>
    <t>Sum of Inventory_Value</t>
  </si>
  <si>
    <t>Count of Slow moving flag</t>
  </si>
  <si>
    <t>% Slow Moving=</t>
  </si>
  <si>
    <t>Sum of Cost_Price</t>
  </si>
  <si>
    <t>Inventory Turnover Ratio=</t>
  </si>
  <si>
    <t>0-30 Days</t>
  </si>
  <si>
    <t>60-90 Days</t>
  </si>
  <si>
    <t>30-60 Days</t>
  </si>
  <si>
    <t>90+ Days</t>
  </si>
  <si>
    <t>INVENTORY RISK &amp; PERFORMANCE DASHBOARD</t>
  </si>
  <si>
    <t>Interactive Dashboard | Filter by Region, Category &amp; Month</t>
  </si>
  <si>
    <t>Total Revenue</t>
  </si>
  <si>
    <t>Sum of Total cost</t>
  </si>
  <si>
    <t>Profit margin %=</t>
  </si>
  <si>
    <t xml:space="preserve"> </t>
  </si>
  <si>
    <t>Total Profit</t>
  </si>
  <si>
    <t>Profit margin %</t>
  </si>
  <si>
    <t>Inventory value</t>
  </si>
  <si>
    <t>Inventory Turnover</t>
  </si>
  <si>
    <t>% Slow moving products</t>
  </si>
  <si>
    <t>• Top 5 products contribute approximately 50–60% of total revenue, indicating high dependency on limited SKUs.
• Electronics category shows highest profitability, driving overall margin performance.
• Slow-moving inventory accounts for over 25%, suggesting opportunity for stock optimization.
• Inventory turnover of 0.76 indicates slower capital rotation, requiring demand alignment.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</si>
</sst>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4009]\ * #,##0_ ;_ [$₹-4009]\ * \-#,##0_ ;_ [$₹-4009]\ * &quot;-&quot;??_ ;_ @_ "/>
    <numFmt numFmtId="165" formatCode="_ &quot;₹&quot;\ * #,##0_ ;_ &quot;₹&quot;\ * \-#,##0_ ;_ &quot;₹&quot;\ * &quot;-&quot;??_ ;_ @_ "/>
  </numFmts>
  <fonts count="10" x14ac:knownFonts="1">
    <font>
      <sz val="11"/>
      <color theme="1"/>
      <name val="Calibri"/>
      <family val="2"/>
      <scheme val="minor"/>
    </font>
    <font>
      <sz val="8"/>
      <name val="Calibri"/>
      <family val="2"/>
      <scheme val="minor"/>
    </font>
    <font>
      <sz val="11"/>
      <color theme="1"/>
      <name val="Calibri"/>
      <family val="2"/>
      <scheme val="minor"/>
    </font>
    <font>
      <b/>
      <sz val="14"/>
      <color theme="1"/>
      <name val="Calibri"/>
      <family val="2"/>
      <scheme val="minor"/>
    </font>
    <font>
      <b/>
      <sz val="8"/>
      <color theme="1"/>
      <name val="Calibri"/>
      <family val="2"/>
      <scheme val="minor"/>
    </font>
    <font>
      <sz val="11"/>
      <color theme="0" tint="-0.34998626667073579"/>
      <name val="Calibri"/>
      <family val="2"/>
      <scheme val="minor"/>
    </font>
    <font>
      <b/>
      <sz val="11"/>
      <color theme="0" tint="-0.34998626667073579"/>
      <name val="Calibri"/>
      <family val="2"/>
      <scheme val="minor"/>
    </font>
    <font>
      <b/>
      <sz val="11"/>
      <color theme="1"/>
      <name val="Calibri"/>
      <family val="2"/>
      <scheme val="minor"/>
    </font>
    <font>
      <b/>
      <sz val="9"/>
      <name val="Calibri"/>
      <family val="2"/>
      <scheme val="minor"/>
    </font>
    <font>
      <b/>
      <sz val="1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35">
    <xf numFmtId="0" fontId="0" fillId="0" borderId="0" xfId="0"/>
    <xf numFmtId="3" fontId="0" fillId="0" borderId="0" xfId="0" applyNumberFormat="1"/>
    <xf numFmtId="14" fontId="0" fillId="0" borderId="0" xfId="0" applyNumberFormat="1"/>
    <xf numFmtId="0" fontId="0" fillId="0" borderId="0" xfId="0" applyNumberFormat="1"/>
    <xf numFmtId="9"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64" fontId="0" fillId="0" borderId="0" xfId="0" applyNumberFormat="1"/>
    <xf numFmtId="165" fontId="0" fillId="0" borderId="0" xfId="0" applyNumberFormat="1"/>
    <xf numFmtId="44" fontId="0" fillId="0" borderId="0" xfId="1" applyFont="1"/>
    <xf numFmtId="0" fontId="5" fillId="2" borderId="0" xfId="0" applyFont="1" applyFill="1"/>
    <xf numFmtId="0" fontId="6" fillId="2" borderId="0" xfId="0" applyFont="1" applyFill="1"/>
    <xf numFmtId="0" fontId="6" fillId="2" borderId="0" xfId="0" applyFont="1" applyFill="1" applyAlignment="1"/>
    <xf numFmtId="0" fontId="5" fillId="2" borderId="0" xfId="0" applyFont="1" applyFill="1" applyAlignment="1"/>
    <xf numFmtId="0" fontId="4" fillId="2" borderId="0" xfId="0" applyFont="1" applyFill="1" applyAlignment="1"/>
    <xf numFmtId="14" fontId="0" fillId="0" borderId="0" xfId="0" applyNumberFormat="1" applyAlignment="1">
      <alignment horizontal="left"/>
    </xf>
    <xf numFmtId="0" fontId="5" fillId="2" borderId="0" xfId="0" applyFont="1" applyFill="1" applyAlignment="1">
      <alignment vertical="center"/>
    </xf>
    <xf numFmtId="44" fontId="7" fillId="2" borderId="0" xfId="0" applyNumberFormat="1" applyFont="1" applyFill="1" applyAlignment="1">
      <alignment horizontal="center" vertical="center"/>
    </xf>
    <xf numFmtId="0" fontId="7" fillId="2" borderId="0" xfId="0" applyFont="1" applyFill="1" applyAlignment="1">
      <alignment horizontal="center" vertical="center"/>
    </xf>
    <xf numFmtId="0" fontId="8" fillId="2" borderId="0" xfId="0" applyFont="1" applyFill="1" applyAlignment="1">
      <alignment vertical="top" wrapText="1"/>
    </xf>
    <xf numFmtId="0" fontId="9" fillId="2" borderId="0" xfId="0" applyFont="1" applyFill="1" applyAlignment="1">
      <alignment vertical="top"/>
    </xf>
    <xf numFmtId="0" fontId="4" fillId="2" borderId="0" xfId="0" applyFont="1" applyFill="1" applyAlignment="1">
      <alignment horizontal="center"/>
    </xf>
    <xf numFmtId="0" fontId="7" fillId="2" borderId="0" xfId="0" applyFont="1" applyFill="1" applyAlignment="1">
      <alignment horizontal="center"/>
    </xf>
    <xf numFmtId="44" fontId="4" fillId="2" borderId="0" xfId="0" applyNumberFormat="1" applyFont="1" applyFill="1" applyAlignment="1">
      <alignment horizontal="center"/>
    </xf>
    <xf numFmtId="10" fontId="7" fillId="2" borderId="0" xfId="0" applyNumberFormat="1" applyFont="1" applyFill="1" applyAlignment="1">
      <alignment horizontal="center"/>
    </xf>
    <xf numFmtId="44" fontId="7" fillId="2" borderId="0" xfId="0" applyNumberFormat="1" applyFont="1" applyFill="1" applyAlignment="1">
      <alignment horizontal="center"/>
    </xf>
    <xf numFmtId="2" fontId="7" fillId="2" borderId="0" xfId="0" applyNumberFormat="1" applyFont="1" applyFill="1" applyAlignment="1">
      <alignment horizontal="center"/>
    </xf>
    <xf numFmtId="0" fontId="4" fillId="2" borderId="0" xfId="0" applyFont="1" applyFill="1" applyAlignment="1">
      <alignment horizontal="center" wrapText="1"/>
    </xf>
    <xf numFmtId="10" fontId="0" fillId="2" borderId="0" xfId="0" applyNumberFormat="1" applyFont="1" applyFill="1" applyAlignment="1">
      <alignment horizontal="center"/>
    </xf>
    <xf numFmtId="0" fontId="0" fillId="2" borderId="0" xfId="0" applyFont="1" applyFill="1" applyAlignment="1">
      <alignment horizontal="center"/>
    </xf>
    <xf numFmtId="44" fontId="7" fillId="2" borderId="0" xfId="0" applyNumberFormat="1" applyFont="1" applyFill="1" applyAlignment="1">
      <alignment horizontal="center" vertical="top"/>
    </xf>
    <xf numFmtId="0" fontId="7" fillId="2" borderId="0" xfId="0" applyFont="1" applyFill="1" applyAlignment="1">
      <alignment horizontal="center" vertical="top"/>
    </xf>
    <xf numFmtId="0" fontId="3" fillId="2" borderId="0" xfId="0" applyFont="1" applyFill="1" applyAlignment="1">
      <alignment horizontal="center" vertical="top"/>
    </xf>
  </cellXfs>
  <cellStyles count="2">
    <cellStyle name="Currency" xfId="1" builtinId="4"/>
    <cellStyle name="Normal" xfId="0" builtinId="0"/>
  </cellStyles>
  <dxfs count="16">
    <dxf>
      <font>
        <b/>
        <i val="0"/>
        <color rgb="FFC00000"/>
      </font>
    </dxf>
    <dxf>
      <font>
        <b/>
        <i val="0"/>
        <color theme="5"/>
      </font>
    </dxf>
    <dxf>
      <font>
        <b/>
        <i val="0"/>
        <color theme="9"/>
      </font>
    </dxf>
    <dxf>
      <font>
        <b/>
        <i val="0"/>
        <color theme="9"/>
      </font>
    </dxf>
    <dxf>
      <font>
        <b/>
        <i val="0"/>
        <color theme="5"/>
      </font>
    </dxf>
    <dxf>
      <font>
        <b/>
        <i val="0"/>
        <color rgb="FFC00000"/>
      </font>
    </dxf>
    <dxf>
      <font>
        <b/>
        <i val="0"/>
        <color theme="5"/>
      </font>
    </dxf>
    <dxf>
      <font>
        <b/>
        <i val="0"/>
        <color rgb="FFC00000"/>
      </font>
    </dxf>
    <dxf>
      <font>
        <b/>
        <i val="0"/>
        <color theme="9"/>
      </font>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3" formatCode="0%"/>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inventory.xlsx]Dashboard_data!Inventory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75000"/>
                    <a:lumOff val="25000"/>
                  </a:schemeClr>
                </a:solidFill>
              </a:rPr>
              <a:t>Inventory by Category</a:t>
            </a:r>
            <a:endParaRPr lang="en-US" b="1" baseline="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50800">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Dashboard_data!$B$7</c:f>
              <c:strCache>
                <c:ptCount val="1"/>
                <c:pt idx="0">
                  <c:v>Total</c:v>
                </c:pt>
              </c:strCache>
            </c:strRef>
          </c:tx>
          <c:spPr>
            <a:solidFill>
              <a:schemeClr val="accent1">
                <a:lumMod val="50000"/>
              </a:schemeClr>
            </a:solidFill>
            <a:ln w="50800">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Dashboard_data!$A$8:$A$13</c:f>
              <c:strCache>
                <c:ptCount val="5"/>
                <c:pt idx="0">
                  <c:v>Furniture</c:v>
                </c:pt>
                <c:pt idx="1">
                  <c:v>Electronics</c:v>
                </c:pt>
                <c:pt idx="2">
                  <c:v>Accessories</c:v>
                </c:pt>
                <c:pt idx="3">
                  <c:v>Clothing</c:v>
                </c:pt>
                <c:pt idx="4">
                  <c:v>Grocery</c:v>
                </c:pt>
              </c:strCache>
            </c:strRef>
          </c:cat>
          <c:val>
            <c:numRef>
              <c:f>Dashboard_data!$B$8:$B$13</c:f>
              <c:numCache>
                <c:formatCode>General</c:formatCode>
                <c:ptCount val="5"/>
                <c:pt idx="0">
                  <c:v>1724</c:v>
                </c:pt>
                <c:pt idx="1">
                  <c:v>3261</c:v>
                </c:pt>
                <c:pt idx="2">
                  <c:v>5541</c:v>
                </c:pt>
                <c:pt idx="3">
                  <c:v>7199</c:v>
                </c:pt>
                <c:pt idx="4">
                  <c:v>22485</c:v>
                </c:pt>
              </c:numCache>
            </c:numRef>
          </c:val>
          <c:extLst>
            <c:ext xmlns:c16="http://schemas.microsoft.com/office/drawing/2014/chart" uri="{C3380CC4-5D6E-409C-BE32-E72D297353CC}">
              <c16:uniqueId val="{00000000-4B31-4A83-AE91-CA88C73C626D}"/>
            </c:ext>
          </c:extLst>
        </c:ser>
        <c:dLbls>
          <c:dLblPos val="outEnd"/>
          <c:showLegendKey val="0"/>
          <c:showVal val="1"/>
          <c:showCatName val="0"/>
          <c:showSerName val="0"/>
          <c:showPercent val="0"/>
          <c:showBubbleSize val="0"/>
        </c:dLbls>
        <c:gapWidth val="182"/>
        <c:axId val="432715584"/>
        <c:axId val="432716000"/>
      </c:barChart>
      <c:catAx>
        <c:axId val="43271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716000"/>
        <c:crosses val="autoZero"/>
        <c:auto val="1"/>
        <c:lblAlgn val="ctr"/>
        <c:lblOffset val="100"/>
        <c:noMultiLvlLbl val="0"/>
      </c:catAx>
      <c:valAx>
        <c:axId val="432716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715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inventory.xlsx]Dashboard_data!Profit by Region</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75000"/>
                    <a:lumOff val="25000"/>
                  </a:schemeClr>
                </a:solidFill>
              </a:rPr>
              <a:t>Profit by Region</a:t>
            </a:r>
            <a:endParaRPr lang="en-US"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50800">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Dashboard_data!$E$7</c:f>
              <c:strCache>
                <c:ptCount val="1"/>
                <c:pt idx="0">
                  <c:v>Total</c:v>
                </c:pt>
              </c:strCache>
            </c:strRef>
          </c:tx>
          <c:spPr>
            <a:solidFill>
              <a:schemeClr val="accent1">
                <a:lumMod val="50000"/>
              </a:schemeClr>
            </a:solidFill>
            <a:ln w="50800">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Dashboard_data!$D$8:$D$12</c:f>
              <c:strCache>
                <c:ptCount val="4"/>
                <c:pt idx="0">
                  <c:v>South</c:v>
                </c:pt>
                <c:pt idx="1">
                  <c:v>West</c:v>
                </c:pt>
                <c:pt idx="2">
                  <c:v>East</c:v>
                </c:pt>
                <c:pt idx="3">
                  <c:v>North</c:v>
                </c:pt>
              </c:strCache>
            </c:strRef>
          </c:cat>
          <c:val>
            <c:numRef>
              <c:f>Dashboard_data!$E$8:$E$12</c:f>
              <c:numCache>
                <c:formatCode>General</c:formatCode>
                <c:ptCount val="4"/>
                <c:pt idx="0">
                  <c:v>9146470</c:v>
                </c:pt>
                <c:pt idx="1">
                  <c:v>8878480</c:v>
                </c:pt>
                <c:pt idx="2">
                  <c:v>8624360</c:v>
                </c:pt>
                <c:pt idx="3">
                  <c:v>8623820</c:v>
                </c:pt>
              </c:numCache>
            </c:numRef>
          </c:val>
          <c:extLst>
            <c:ext xmlns:c16="http://schemas.microsoft.com/office/drawing/2014/chart" uri="{C3380CC4-5D6E-409C-BE32-E72D297353CC}">
              <c16:uniqueId val="{00000000-6613-4FDB-BC90-ED25AD7EB64F}"/>
            </c:ext>
          </c:extLst>
        </c:ser>
        <c:dLbls>
          <c:dLblPos val="outEnd"/>
          <c:showLegendKey val="0"/>
          <c:showVal val="1"/>
          <c:showCatName val="0"/>
          <c:showSerName val="0"/>
          <c:showPercent val="0"/>
          <c:showBubbleSize val="0"/>
        </c:dLbls>
        <c:gapWidth val="219"/>
        <c:overlap val="-27"/>
        <c:axId val="437582912"/>
        <c:axId val="437583328"/>
      </c:barChart>
      <c:catAx>
        <c:axId val="43758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37583328"/>
        <c:crosses val="autoZero"/>
        <c:auto val="1"/>
        <c:lblAlgn val="ctr"/>
        <c:lblOffset val="100"/>
        <c:noMultiLvlLbl val="0"/>
      </c:catAx>
      <c:valAx>
        <c:axId val="437583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582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inventory.xlsx]Dashboard_data!Revenue &amp; Profit Trend</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75000"/>
                    <a:lumOff val="25000"/>
                  </a:schemeClr>
                </a:solidFill>
              </a:rPr>
              <a:t>Revenue Trend</a:t>
            </a:r>
            <a:endParaRPr lang="en-IN"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chemeClr val="accent1">
                <a:lumMod val="50000"/>
              </a:schemeClr>
            </a:solidFill>
            <a:round/>
          </a:ln>
          <a:effectLst/>
        </c:spPr>
        <c:marker>
          <c:symbol val="diamond"/>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41275" cap="rnd">
            <a:solidFill>
              <a:schemeClr val="accent2">
                <a:lumMod val="75000"/>
              </a:schemeClr>
            </a:solidFill>
            <a:round/>
          </a:ln>
          <a:effectLst/>
        </c:spPr>
        <c:marker>
          <c:symbol val="diamond"/>
          <c:size val="7"/>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7608649880482"/>
          <c:y val="0.2809848484848485"/>
          <c:w val="0.78858929629423746"/>
          <c:h val="0.54327069911715586"/>
        </c:manualLayout>
      </c:layout>
      <c:lineChart>
        <c:grouping val="standard"/>
        <c:varyColors val="0"/>
        <c:ser>
          <c:idx val="0"/>
          <c:order val="0"/>
          <c:tx>
            <c:strRef>
              <c:f>Dashboard_data!$H$7</c:f>
              <c:strCache>
                <c:ptCount val="1"/>
                <c:pt idx="0">
                  <c:v>Sum of Revenue</c:v>
                </c:pt>
              </c:strCache>
            </c:strRef>
          </c:tx>
          <c:spPr>
            <a:ln w="50800" cap="rnd">
              <a:solidFill>
                <a:schemeClr val="accent1">
                  <a:lumMod val="50000"/>
                </a:schemeClr>
              </a:solidFill>
              <a:round/>
            </a:ln>
            <a:effectLst/>
          </c:spPr>
          <c:marker>
            <c:symbol val="diamond"/>
            <c:size val="7"/>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Dashboard_data!$G$8:$G$14</c:f>
              <c:strCache>
                <c:ptCount val="6"/>
                <c:pt idx="0">
                  <c:v>01-01-2025</c:v>
                </c:pt>
                <c:pt idx="1">
                  <c:v>01-02-2025</c:v>
                </c:pt>
                <c:pt idx="2">
                  <c:v>01-03-2025</c:v>
                </c:pt>
                <c:pt idx="3">
                  <c:v>01-04-2025</c:v>
                </c:pt>
                <c:pt idx="4">
                  <c:v>01-05-2025</c:v>
                </c:pt>
                <c:pt idx="5">
                  <c:v>01-06-2025</c:v>
                </c:pt>
              </c:strCache>
            </c:strRef>
          </c:cat>
          <c:val>
            <c:numRef>
              <c:f>Dashboard_data!$H$8:$H$14</c:f>
              <c:numCache>
                <c:formatCode>General</c:formatCode>
                <c:ptCount val="6"/>
                <c:pt idx="0">
                  <c:v>19910975</c:v>
                </c:pt>
                <c:pt idx="1">
                  <c:v>20834355</c:v>
                </c:pt>
                <c:pt idx="2">
                  <c:v>20391845</c:v>
                </c:pt>
                <c:pt idx="3">
                  <c:v>20590740</c:v>
                </c:pt>
                <c:pt idx="4">
                  <c:v>17420100</c:v>
                </c:pt>
                <c:pt idx="5">
                  <c:v>16467645</c:v>
                </c:pt>
              </c:numCache>
            </c:numRef>
          </c:val>
          <c:smooth val="0"/>
          <c:extLst>
            <c:ext xmlns:c16="http://schemas.microsoft.com/office/drawing/2014/chart" uri="{C3380CC4-5D6E-409C-BE32-E72D297353CC}">
              <c16:uniqueId val="{00000000-6736-4B53-BF22-6E97C461F6DA}"/>
            </c:ext>
          </c:extLst>
        </c:ser>
        <c:ser>
          <c:idx val="1"/>
          <c:order val="1"/>
          <c:tx>
            <c:strRef>
              <c:f>Dashboard_data!$I$7</c:f>
              <c:strCache>
                <c:ptCount val="1"/>
                <c:pt idx="0">
                  <c:v>Sum of profit</c:v>
                </c:pt>
              </c:strCache>
            </c:strRef>
          </c:tx>
          <c:spPr>
            <a:ln w="41275" cap="rnd">
              <a:solidFill>
                <a:schemeClr val="accent2">
                  <a:lumMod val="75000"/>
                </a:schemeClr>
              </a:solidFill>
              <a:round/>
            </a:ln>
            <a:effectLst/>
          </c:spPr>
          <c:marker>
            <c:symbol val="diamond"/>
            <c:size val="7"/>
            <c:spPr>
              <a:solidFill>
                <a:schemeClr val="accent2"/>
              </a:solidFill>
              <a:ln w="9525">
                <a:solidFill>
                  <a:schemeClr val="accent2">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Dashboard_data!$G$8:$G$14</c:f>
              <c:strCache>
                <c:ptCount val="6"/>
                <c:pt idx="0">
                  <c:v>01-01-2025</c:v>
                </c:pt>
                <c:pt idx="1">
                  <c:v>01-02-2025</c:v>
                </c:pt>
                <c:pt idx="2">
                  <c:v>01-03-2025</c:v>
                </c:pt>
                <c:pt idx="3">
                  <c:v>01-04-2025</c:v>
                </c:pt>
                <c:pt idx="4">
                  <c:v>01-05-2025</c:v>
                </c:pt>
                <c:pt idx="5">
                  <c:v>01-06-2025</c:v>
                </c:pt>
              </c:strCache>
            </c:strRef>
          </c:cat>
          <c:val>
            <c:numRef>
              <c:f>Dashboard_data!$I$8:$I$14</c:f>
              <c:numCache>
                <c:formatCode>General</c:formatCode>
                <c:ptCount val="6"/>
                <c:pt idx="0">
                  <c:v>6252970</c:v>
                </c:pt>
                <c:pt idx="1">
                  <c:v>5876260</c:v>
                </c:pt>
                <c:pt idx="2">
                  <c:v>6466570</c:v>
                </c:pt>
                <c:pt idx="3">
                  <c:v>6266840</c:v>
                </c:pt>
                <c:pt idx="4">
                  <c:v>5223940</c:v>
                </c:pt>
                <c:pt idx="5">
                  <c:v>5186550</c:v>
                </c:pt>
              </c:numCache>
            </c:numRef>
          </c:val>
          <c:smooth val="0"/>
          <c:extLst>
            <c:ext xmlns:c16="http://schemas.microsoft.com/office/drawing/2014/chart" uri="{C3380CC4-5D6E-409C-BE32-E72D297353CC}">
              <c16:uniqueId val="{00000001-6736-4B53-BF22-6E97C461F6DA}"/>
            </c:ext>
          </c:extLst>
        </c:ser>
        <c:dLbls>
          <c:dLblPos val="t"/>
          <c:showLegendKey val="0"/>
          <c:showVal val="1"/>
          <c:showCatName val="0"/>
          <c:showSerName val="0"/>
          <c:showPercent val="0"/>
          <c:showBubbleSize val="0"/>
        </c:dLbls>
        <c:marker val="1"/>
        <c:smooth val="0"/>
        <c:axId val="440362864"/>
        <c:axId val="440366608"/>
      </c:lineChart>
      <c:catAx>
        <c:axId val="44036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66608"/>
        <c:crosses val="autoZero"/>
        <c:auto val="1"/>
        <c:lblAlgn val="ctr"/>
        <c:lblOffset val="100"/>
        <c:noMultiLvlLbl val="0"/>
      </c:catAx>
      <c:valAx>
        <c:axId val="440366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62864"/>
        <c:crosses val="autoZero"/>
        <c:crossBetween val="between"/>
      </c:valAx>
      <c:spPr>
        <a:noFill/>
        <a:ln>
          <a:noFill/>
        </a:ln>
        <a:effectLst/>
      </c:spPr>
    </c:plotArea>
    <c:legend>
      <c:legendPos val="r"/>
      <c:layout>
        <c:manualLayout>
          <c:xMode val="edge"/>
          <c:yMode val="edge"/>
          <c:x val="0.70565975673579284"/>
          <c:y val="8.8624433309472672E-3"/>
          <c:w val="0.29068226482438969"/>
          <c:h val="0.1799260319732760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inventory.xlsx]Dashboard_data!Inventory Aging</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Inventory Aging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50800">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50800">
            <a:solidFill>
              <a:schemeClr val="accent1">
                <a:lumMod val="50000"/>
              </a:schemeClr>
            </a:solidFill>
          </a:ln>
          <a:effectLst/>
        </c:spPr>
      </c:pivotFmt>
    </c:pivotFmts>
    <c:plotArea>
      <c:layout/>
      <c:barChart>
        <c:barDir val="bar"/>
        <c:grouping val="stacked"/>
        <c:varyColors val="0"/>
        <c:ser>
          <c:idx val="0"/>
          <c:order val="0"/>
          <c:tx>
            <c:strRef>
              <c:f>Dashboard_data!$L$7</c:f>
              <c:strCache>
                <c:ptCount val="1"/>
                <c:pt idx="0">
                  <c:v>Total</c:v>
                </c:pt>
              </c:strCache>
            </c:strRef>
          </c:tx>
          <c:spPr>
            <a:solidFill>
              <a:schemeClr val="accent1">
                <a:lumMod val="50000"/>
              </a:schemeClr>
            </a:solidFill>
            <a:ln w="50800">
              <a:solidFill>
                <a:schemeClr val="accent1">
                  <a:lumMod val="50000"/>
                </a:schemeClr>
              </a:solidFill>
            </a:ln>
            <a:effectLst/>
          </c:spPr>
          <c:invertIfNegative val="0"/>
          <c:cat>
            <c:strRef>
              <c:f>Dashboard_data!$K$8:$K$12</c:f>
              <c:strCache>
                <c:ptCount val="4"/>
                <c:pt idx="0">
                  <c:v>0-30 Days</c:v>
                </c:pt>
                <c:pt idx="1">
                  <c:v>30-60 Days</c:v>
                </c:pt>
                <c:pt idx="2">
                  <c:v>60-90 Days</c:v>
                </c:pt>
                <c:pt idx="3">
                  <c:v>90+ Days</c:v>
                </c:pt>
              </c:strCache>
            </c:strRef>
          </c:cat>
          <c:val>
            <c:numRef>
              <c:f>Dashboard_data!$L$8:$L$12</c:f>
              <c:numCache>
                <c:formatCode>General</c:formatCode>
                <c:ptCount val="4"/>
                <c:pt idx="0">
                  <c:v>6059</c:v>
                </c:pt>
                <c:pt idx="1">
                  <c:v>6760</c:v>
                </c:pt>
                <c:pt idx="2">
                  <c:v>7104</c:v>
                </c:pt>
                <c:pt idx="3">
                  <c:v>20287</c:v>
                </c:pt>
              </c:numCache>
            </c:numRef>
          </c:val>
          <c:extLst>
            <c:ext xmlns:c16="http://schemas.microsoft.com/office/drawing/2014/chart" uri="{C3380CC4-5D6E-409C-BE32-E72D297353CC}">
              <c16:uniqueId val="{00000000-5D79-4A41-B55E-E7D01285C27B}"/>
            </c:ext>
          </c:extLst>
        </c:ser>
        <c:dLbls>
          <c:showLegendKey val="0"/>
          <c:showVal val="0"/>
          <c:showCatName val="0"/>
          <c:showSerName val="0"/>
          <c:showPercent val="0"/>
          <c:showBubbleSize val="0"/>
        </c:dLbls>
        <c:gapWidth val="150"/>
        <c:overlap val="100"/>
        <c:axId val="549746704"/>
        <c:axId val="549754192"/>
      </c:barChart>
      <c:catAx>
        <c:axId val="54974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54192"/>
        <c:crosses val="autoZero"/>
        <c:auto val="1"/>
        <c:lblAlgn val="ctr"/>
        <c:lblOffset val="100"/>
        <c:noMultiLvlLbl val="0"/>
      </c:catAx>
      <c:valAx>
        <c:axId val="549754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46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inventory.xlsx]Dashboard_data!PivotTable2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41108132260947272"/>
              <c:y val="-7.13012477718363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681858802502234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752457551385165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502234137622877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430741733690795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Dashboard_data!$B$16</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F4FD-4C35-9EA5-74EA4D13573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F4FD-4C35-9EA5-74EA4D13573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F4FD-4C35-9EA5-74EA4D13573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F4FD-4C35-9EA5-74EA4D135736}"/>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2-F4FD-4C35-9EA5-74EA4D135736}"/>
              </c:ext>
            </c:extLst>
          </c:dPt>
          <c:dLbls>
            <c:dLbl>
              <c:idx val="0"/>
              <c:layout>
                <c:manualLayout>
                  <c:x val="0.2430741733690795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4FD-4C35-9EA5-74EA4D135736}"/>
                </c:ext>
              </c:extLst>
            </c:dLbl>
            <c:dLbl>
              <c:idx val="1"/>
              <c:layout>
                <c:manualLayout>
                  <c:x val="0.2502234137622877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FD-4C35-9EA5-74EA4D135736}"/>
                </c:ext>
              </c:extLst>
            </c:dLbl>
            <c:dLbl>
              <c:idx val="2"/>
              <c:layout>
                <c:manualLayout>
                  <c:x val="0.2752457551385165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4FD-4C35-9EA5-74EA4D135736}"/>
                </c:ext>
              </c:extLst>
            </c:dLbl>
            <c:dLbl>
              <c:idx val="3"/>
              <c:layout>
                <c:manualLayout>
                  <c:x val="0.3681858802502234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FD-4C35-9EA5-74EA4D135736}"/>
                </c:ext>
              </c:extLst>
            </c:dLbl>
            <c:dLbl>
              <c:idx val="4"/>
              <c:layout>
                <c:manualLayout>
                  <c:x val="0.41108132260947272"/>
                  <c:y val="-7.130124777183633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FD-4C35-9EA5-74EA4D1357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Dashboard_data!$A$17:$A$22</c:f>
              <c:strCache>
                <c:ptCount val="5"/>
                <c:pt idx="0">
                  <c:v>Mobile</c:v>
                </c:pt>
                <c:pt idx="1">
                  <c:v>Watch</c:v>
                </c:pt>
                <c:pt idx="2">
                  <c:v>Bed</c:v>
                </c:pt>
                <c:pt idx="3">
                  <c:v>Laptop </c:v>
                </c:pt>
                <c:pt idx="4">
                  <c:v>Tv</c:v>
                </c:pt>
              </c:strCache>
            </c:strRef>
          </c:cat>
          <c:val>
            <c:numRef>
              <c:f>Dashboard_data!$B$17:$B$22</c:f>
              <c:numCache>
                <c:formatCode>General</c:formatCode>
                <c:ptCount val="5"/>
                <c:pt idx="0">
                  <c:v>2815000</c:v>
                </c:pt>
                <c:pt idx="1">
                  <c:v>2944000</c:v>
                </c:pt>
                <c:pt idx="2">
                  <c:v>3288000</c:v>
                </c:pt>
                <c:pt idx="3">
                  <c:v>4790000</c:v>
                </c:pt>
                <c:pt idx="4">
                  <c:v>5296000</c:v>
                </c:pt>
              </c:numCache>
            </c:numRef>
          </c:val>
          <c:extLst>
            <c:ext xmlns:c16="http://schemas.microsoft.com/office/drawing/2014/chart" uri="{C3380CC4-5D6E-409C-BE32-E72D297353CC}">
              <c16:uniqueId val="{00000000-F4FD-4C35-9EA5-74EA4D135736}"/>
            </c:ext>
          </c:extLst>
        </c:ser>
        <c:dLbls>
          <c:dLblPos val="ctr"/>
          <c:showLegendKey val="0"/>
          <c:showVal val="1"/>
          <c:showCatName val="0"/>
          <c:showSerName val="0"/>
          <c:showPercent val="0"/>
          <c:showBubbleSize val="0"/>
        </c:dLbls>
        <c:gapWidth val="150"/>
        <c:overlap val="100"/>
        <c:axId val="1367208336"/>
        <c:axId val="1367208752"/>
      </c:barChart>
      <c:catAx>
        <c:axId val="136720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208752"/>
        <c:crosses val="autoZero"/>
        <c:auto val="1"/>
        <c:lblAlgn val="ctr"/>
        <c:lblOffset val="100"/>
        <c:noMultiLvlLbl val="0"/>
      </c:catAx>
      <c:valAx>
        <c:axId val="1367208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20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161925</xdr:colOff>
      <xdr:row>14</xdr:row>
      <xdr:rowOff>142875</xdr:rowOff>
    </xdr:from>
    <xdr:to>
      <xdr:col>9</xdr:col>
      <xdr:colOff>361950</xdr:colOff>
      <xdr:row>28</xdr:row>
      <xdr:rowOff>0</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2E294534-5E90-410F-A465-66061348F4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429750" y="2809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238125</xdr:colOff>
      <xdr:row>14</xdr:row>
      <xdr:rowOff>19050</xdr:rowOff>
    </xdr:from>
    <xdr:to>
      <xdr:col>13</xdr:col>
      <xdr:colOff>123825</xdr:colOff>
      <xdr:row>27</xdr:row>
      <xdr:rowOff>66675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70C79F84-4F65-48F2-878C-D6608F9D6F5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830050" y="2686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85725</xdr:colOff>
      <xdr:row>0</xdr:row>
      <xdr:rowOff>85725</xdr:rowOff>
    </xdr:from>
    <xdr:to>
      <xdr:col>15</xdr:col>
      <xdr:colOff>85725</xdr:colOff>
      <xdr:row>13</xdr:row>
      <xdr:rowOff>133350</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7E3E2FC0-FE97-48F1-9B15-D4050910B00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011150" y="85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1</xdr:row>
      <xdr:rowOff>180975</xdr:rowOff>
    </xdr:from>
    <xdr:to>
      <xdr:col>2</xdr:col>
      <xdr:colOff>581025</xdr:colOff>
      <xdr:row>4</xdr:row>
      <xdr:rowOff>95250</xdr:rowOff>
    </xdr:to>
    <xdr:sp macro="" textlink="">
      <xdr:nvSpPr>
        <xdr:cNvPr id="7" name="Rectangle: Rounded Corners 6">
          <a:extLst>
            <a:ext uri="{FF2B5EF4-FFF2-40B4-BE49-F238E27FC236}">
              <a16:creationId xmlns:a16="http://schemas.microsoft.com/office/drawing/2014/main" id="{2F548F07-93AB-421D-B8AD-231DC7CF9756}"/>
            </a:ext>
          </a:extLst>
        </xdr:cNvPr>
        <xdr:cNvSpPr/>
      </xdr:nvSpPr>
      <xdr:spPr>
        <a:xfrm>
          <a:off x="619125" y="371475"/>
          <a:ext cx="1266825" cy="485775"/>
        </a:xfrm>
        <a:prstGeom prst="roundRect">
          <a:avLst/>
        </a:prstGeom>
        <a:no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114301</xdr:colOff>
      <xdr:row>4</xdr:row>
      <xdr:rowOff>161244</xdr:rowOff>
    </xdr:from>
    <xdr:to>
      <xdr:col>7</xdr:col>
      <xdr:colOff>390526</xdr:colOff>
      <xdr:row>12</xdr:row>
      <xdr:rowOff>80962</xdr:rowOff>
    </xdr:to>
    <xdr:graphicFrame macro="">
      <xdr:nvGraphicFramePr>
        <xdr:cNvPr id="3" name="Chart 4">
          <a:extLst>
            <a:ext uri="{FF2B5EF4-FFF2-40B4-BE49-F238E27FC236}">
              <a16:creationId xmlns:a16="http://schemas.microsoft.com/office/drawing/2014/main" id="{0133F360-7E78-4D43-BF28-F243DDBC3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323851</xdr:colOff>
      <xdr:row>4</xdr:row>
      <xdr:rowOff>161240</xdr:rowOff>
    </xdr:from>
    <xdr:to>
      <xdr:col>15</xdr:col>
      <xdr:colOff>400051</xdr:colOff>
      <xdr:row>12</xdr:row>
      <xdr:rowOff>80967</xdr:rowOff>
    </xdr:to>
    <xdr:graphicFrame macro="">
      <xdr:nvGraphicFramePr>
        <xdr:cNvPr id="4" name="Chart 5">
          <a:extLst>
            <a:ext uri="{FF2B5EF4-FFF2-40B4-BE49-F238E27FC236}">
              <a16:creationId xmlns:a16="http://schemas.microsoft.com/office/drawing/2014/main" id="{D950384B-893D-43F6-90D7-894ECF8B7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102734</xdr:colOff>
      <xdr:row>12</xdr:row>
      <xdr:rowOff>142875</xdr:rowOff>
    </xdr:from>
    <xdr:to>
      <xdr:col>7</xdr:col>
      <xdr:colOff>390524</xdr:colOff>
      <xdr:row>21</xdr:row>
      <xdr:rowOff>0</xdr:rowOff>
    </xdr:to>
    <xdr:graphicFrame macro="">
      <xdr:nvGraphicFramePr>
        <xdr:cNvPr id="5" name="Chart 6">
          <a:extLst>
            <a:ext uri="{FF2B5EF4-FFF2-40B4-BE49-F238E27FC236}">
              <a16:creationId xmlns:a16="http://schemas.microsoft.com/office/drawing/2014/main" id="{606837BA-274A-4C7D-BA4C-E6814744C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304800</xdr:colOff>
      <xdr:row>12</xdr:row>
      <xdr:rowOff>171450</xdr:rowOff>
    </xdr:from>
    <xdr:to>
      <xdr:col>15</xdr:col>
      <xdr:colOff>400050</xdr:colOff>
      <xdr:row>21</xdr:row>
      <xdr:rowOff>9524</xdr:rowOff>
    </xdr:to>
    <xdr:graphicFrame macro="">
      <xdr:nvGraphicFramePr>
        <xdr:cNvPr id="6" name="Chart 7">
          <a:extLst>
            <a:ext uri="{FF2B5EF4-FFF2-40B4-BE49-F238E27FC236}">
              <a16:creationId xmlns:a16="http://schemas.microsoft.com/office/drawing/2014/main" id="{A7DA2AD3-70FD-44D5-B9D3-AE68689E1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342899</xdr:colOff>
      <xdr:row>14</xdr:row>
      <xdr:rowOff>171450</xdr:rowOff>
    </xdr:from>
    <xdr:to>
      <xdr:col>20</xdr:col>
      <xdr:colOff>123824</xdr:colOff>
      <xdr:row>21</xdr:row>
      <xdr:rowOff>19049</xdr:rowOff>
    </xdr:to>
    <mc:AlternateContent xmlns:mc="http://schemas.openxmlformats.org/markup-compatibility/2006" xmlns:a14="http://schemas.microsoft.com/office/drawing/2010/main">
      <mc:Choice Requires="a14">
        <xdr:graphicFrame macro="">
          <xdr:nvGraphicFramePr>
            <xdr:cNvPr id="2" name="Category 2">
              <a:extLst>
                <a:ext uri="{FF2B5EF4-FFF2-40B4-BE49-F238E27FC236}">
                  <a16:creationId xmlns:a16="http://schemas.microsoft.com/office/drawing/2014/main" id="{AD9FFFE6-E0B3-4CDE-801C-7FEC62F4322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0163174" y="2838450"/>
              <a:ext cx="2219325"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333375</xdr:colOff>
      <xdr:row>9</xdr:row>
      <xdr:rowOff>185738</xdr:rowOff>
    </xdr:from>
    <xdr:to>
      <xdr:col>20</xdr:col>
      <xdr:colOff>133349</xdr:colOff>
      <xdr:row>14</xdr:row>
      <xdr:rowOff>142875</xdr:rowOff>
    </xdr:to>
    <mc:AlternateContent xmlns:mc="http://schemas.openxmlformats.org/markup-compatibility/2006" xmlns:a14="http://schemas.microsoft.com/office/drawing/2010/main">
      <mc:Choice Requires="a14">
        <xdr:graphicFrame macro="">
          <xdr:nvGraphicFramePr>
            <xdr:cNvPr id="10" name="Region 2">
              <a:extLst>
                <a:ext uri="{FF2B5EF4-FFF2-40B4-BE49-F238E27FC236}">
                  <a16:creationId xmlns:a16="http://schemas.microsoft.com/office/drawing/2014/main" id="{3378AC3F-F4F3-4D23-9E82-EDE5941EABD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153650" y="1900238"/>
              <a:ext cx="2238374" cy="909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333374</xdr:colOff>
      <xdr:row>5</xdr:row>
      <xdr:rowOff>19051</xdr:rowOff>
    </xdr:from>
    <xdr:to>
      <xdr:col>20</xdr:col>
      <xdr:colOff>133349</xdr:colOff>
      <xdr:row>9</xdr:row>
      <xdr:rowOff>152400</xdr:rowOff>
    </xdr:to>
    <mc:AlternateContent xmlns:mc="http://schemas.openxmlformats.org/markup-compatibility/2006" xmlns:a14="http://schemas.microsoft.com/office/drawing/2010/main">
      <mc:Choice Requires="a14">
        <xdr:graphicFrame macro="">
          <xdr:nvGraphicFramePr>
            <xdr:cNvPr id="11" name="Month 2">
              <a:extLst>
                <a:ext uri="{FF2B5EF4-FFF2-40B4-BE49-F238E27FC236}">
                  <a16:creationId xmlns:a16="http://schemas.microsoft.com/office/drawing/2014/main" id="{D61E55D4-91C3-4BE9-91E1-92FE28C216EB}"/>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0153649" y="971551"/>
              <a:ext cx="2238375"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600075</xdr:colOff>
      <xdr:row>1</xdr:row>
      <xdr:rowOff>171450</xdr:rowOff>
    </xdr:from>
    <xdr:to>
      <xdr:col>6</xdr:col>
      <xdr:colOff>38100</xdr:colOff>
      <xdr:row>4</xdr:row>
      <xdr:rowOff>85725</xdr:rowOff>
    </xdr:to>
    <xdr:sp macro="" textlink="">
      <xdr:nvSpPr>
        <xdr:cNvPr id="42" name="Rectangle: Rounded Corners 41">
          <a:extLst>
            <a:ext uri="{FF2B5EF4-FFF2-40B4-BE49-F238E27FC236}">
              <a16:creationId xmlns:a16="http://schemas.microsoft.com/office/drawing/2014/main" id="{DD5DCF5C-BAB4-4418-ADEE-7128227CCD22}"/>
            </a:ext>
          </a:extLst>
        </xdr:cNvPr>
        <xdr:cNvSpPr/>
      </xdr:nvSpPr>
      <xdr:spPr>
        <a:xfrm>
          <a:off x="2514600" y="361950"/>
          <a:ext cx="1266825" cy="485775"/>
        </a:xfrm>
        <a:prstGeom prst="roundRect">
          <a:avLst/>
        </a:prstGeom>
        <a:no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0</xdr:colOff>
      <xdr:row>1</xdr:row>
      <xdr:rowOff>180975</xdr:rowOff>
    </xdr:from>
    <xdr:to>
      <xdr:col>9</xdr:col>
      <xdr:colOff>47625</xdr:colOff>
      <xdr:row>4</xdr:row>
      <xdr:rowOff>95250</xdr:rowOff>
    </xdr:to>
    <xdr:sp macro="" textlink="">
      <xdr:nvSpPr>
        <xdr:cNvPr id="43" name="Rectangle: Rounded Corners 42">
          <a:extLst>
            <a:ext uri="{FF2B5EF4-FFF2-40B4-BE49-F238E27FC236}">
              <a16:creationId xmlns:a16="http://schemas.microsoft.com/office/drawing/2014/main" id="{CAC8DCB9-A12F-4273-BE5E-A20ABFD9EED6}"/>
            </a:ext>
          </a:extLst>
        </xdr:cNvPr>
        <xdr:cNvSpPr/>
      </xdr:nvSpPr>
      <xdr:spPr>
        <a:xfrm>
          <a:off x="4352925" y="371475"/>
          <a:ext cx="1266825" cy="485775"/>
        </a:xfrm>
        <a:prstGeom prst="roundRect">
          <a:avLst/>
        </a:prstGeom>
        <a:no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2</xdr:row>
      <xdr:rowOff>0</xdr:rowOff>
    </xdr:from>
    <xdr:to>
      <xdr:col>12</xdr:col>
      <xdr:colOff>95250</xdr:colOff>
      <xdr:row>4</xdr:row>
      <xdr:rowOff>104775</xdr:rowOff>
    </xdr:to>
    <xdr:sp macro="" textlink="">
      <xdr:nvSpPr>
        <xdr:cNvPr id="44" name="Rectangle: Rounded Corners 43">
          <a:extLst>
            <a:ext uri="{FF2B5EF4-FFF2-40B4-BE49-F238E27FC236}">
              <a16:creationId xmlns:a16="http://schemas.microsoft.com/office/drawing/2014/main" id="{8ECA8F19-4198-4497-B1CC-C2E6CA488729}"/>
            </a:ext>
          </a:extLst>
        </xdr:cNvPr>
        <xdr:cNvSpPr/>
      </xdr:nvSpPr>
      <xdr:spPr>
        <a:xfrm>
          <a:off x="6181725" y="381000"/>
          <a:ext cx="1266825" cy="485775"/>
        </a:xfrm>
        <a:prstGeom prst="roundRect">
          <a:avLst/>
        </a:prstGeom>
        <a:no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0</xdr:colOff>
      <xdr:row>2</xdr:row>
      <xdr:rowOff>0</xdr:rowOff>
    </xdr:from>
    <xdr:to>
      <xdr:col>15</xdr:col>
      <xdr:colOff>47625</xdr:colOff>
      <xdr:row>4</xdr:row>
      <xdr:rowOff>104775</xdr:rowOff>
    </xdr:to>
    <xdr:sp macro="" textlink="">
      <xdr:nvSpPr>
        <xdr:cNvPr id="45" name="Rectangle: Rounded Corners 44">
          <a:extLst>
            <a:ext uri="{FF2B5EF4-FFF2-40B4-BE49-F238E27FC236}">
              <a16:creationId xmlns:a16="http://schemas.microsoft.com/office/drawing/2014/main" id="{181354B6-E3D4-44B5-836B-62F23DC4792E}"/>
            </a:ext>
          </a:extLst>
        </xdr:cNvPr>
        <xdr:cNvSpPr/>
      </xdr:nvSpPr>
      <xdr:spPr>
        <a:xfrm>
          <a:off x="7991475" y="381000"/>
          <a:ext cx="1266825" cy="485775"/>
        </a:xfrm>
        <a:prstGeom prst="roundRect">
          <a:avLst/>
        </a:prstGeom>
        <a:no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561975</xdr:colOff>
      <xdr:row>2</xdr:row>
      <xdr:rowOff>0</xdr:rowOff>
    </xdr:from>
    <xdr:to>
      <xdr:col>18</xdr:col>
      <xdr:colOff>0</xdr:colOff>
      <xdr:row>4</xdr:row>
      <xdr:rowOff>104775</xdr:rowOff>
    </xdr:to>
    <xdr:sp macro="" textlink="">
      <xdr:nvSpPr>
        <xdr:cNvPr id="54" name="Rectangle: Rounded Corners 53">
          <a:extLst>
            <a:ext uri="{FF2B5EF4-FFF2-40B4-BE49-F238E27FC236}">
              <a16:creationId xmlns:a16="http://schemas.microsoft.com/office/drawing/2014/main" id="{5B36837B-D79C-419D-8E1E-C6E70521B4D8}"/>
            </a:ext>
          </a:extLst>
        </xdr:cNvPr>
        <xdr:cNvSpPr/>
      </xdr:nvSpPr>
      <xdr:spPr>
        <a:xfrm>
          <a:off x="9772650" y="381000"/>
          <a:ext cx="1266825" cy="485775"/>
        </a:xfrm>
        <a:prstGeom prst="roundRect">
          <a:avLst/>
        </a:prstGeom>
        <a:no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76200</xdr:colOff>
      <xdr:row>21</xdr:row>
      <xdr:rowOff>104774</xdr:rowOff>
    </xdr:from>
    <xdr:to>
      <xdr:col>7</xdr:col>
      <xdr:colOff>419100</xdr:colOff>
      <xdr:row>30</xdr:row>
      <xdr:rowOff>171449</xdr:rowOff>
    </xdr:to>
    <xdr:graphicFrame macro="">
      <xdr:nvGraphicFramePr>
        <xdr:cNvPr id="8" name="Chart 4">
          <a:extLst>
            <a:ext uri="{FF2B5EF4-FFF2-40B4-BE49-F238E27FC236}">
              <a16:creationId xmlns:a16="http://schemas.microsoft.com/office/drawing/2014/main" id="{AE46E93F-A4EE-44B1-B361-D008F8D98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AD Khan" refreshedDate="46080.146555439816" createdVersion="7" refreshedVersion="7" minRefreshableVersion="3" recordCount="480" xr:uid="{6DF5BB55-B93F-445F-9A66-8B89A7E86176}">
  <cacheSource type="worksheet">
    <worksheetSource name="tbl_inventory"/>
  </cacheSource>
  <cacheFields count="22">
    <cacheField name="Product_ID" numFmtId="14">
      <sharedItems/>
    </cacheField>
    <cacheField name="Product_Name" numFmtId="0">
      <sharedItems count="20">
        <s v="Laptop "/>
        <s v="Mobile"/>
        <s v="Tv"/>
        <s v="Headphones"/>
        <s v="Sofa"/>
        <s v="Dining Table"/>
        <s v="Chair"/>
        <s v="Bed"/>
        <s v="Rice Pack"/>
        <s v="oil"/>
        <s v="Sugar"/>
        <s v="Flour"/>
        <s v="T-Shirt"/>
        <s v="Jeans"/>
        <s v="Jacket"/>
        <s v="Shirt"/>
        <s v="Belt"/>
        <s v="Wallet"/>
        <s v="Watch"/>
        <s v="Bag"/>
      </sharedItems>
    </cacheField>
    <cacheField name="Category" numFmtId="0">
      <sharedItems count="5">
        <s v="Electronics"/>
        <s v="Furniture"/>
        <s v="Grocery"/>
        <s v="Clothing"/>
        <s v="Accessories"/>
      </sharedItems>
    </cacheField>
    <cacheField name="Region" numFmtId="0">
      <sharedItems count="4">
        <s v="North"/>
        <s v="South"/>
        <s v="East"/>
        <s v="West"/>
      </sharedItems>
    </cacheField>
    <cacheField name="Month" numFmtId="14">
      <sharedItems containsSemiMixedTypes="0" containsNonDate="0" containsDate="1" containsString="0" minDate="2025-01-01T00:00:00" maxDate="2025-06-02T00:00:00" count="6">
        <d v="2025-01-01T00:00:00"/>
        <d v="2025-02-01T00:00:00"/>
        <d v="2025-03-01T00:00:00"/>
        <d v="2025-04-01T00:00:00"/>
        <d v="2025-05-01T00:00:00"/>
        <d v="2025-06-01T00:00:00"/>
      </sharedItems>
    </cacheField>
    <cacheField name="Opening_Stock" numFmtId="0">
      <sharedItems containsSemiMixedTypes="0" containsString="0" containsNumber="1" containsInteger="1" minValue="10" maxValue="797"/>
    </cacheField>
    <cacheField name="Units_Sold" numFmtId="0">
      <sharedItems containsSemiMixedTypes="0" containsString="0" containsNumber="1" containsInteger="1" minValue="0" maxValue="773"/>
    </cacheField>
    <cacheField name="Closing_Stock" numFmtId="0">
      <sharedItems containsSemiMixedTypes="0" containsString="0" containsNumber="1" containsInteger="1" minValue="0" maxValue="679"/>
    </cacheField>
    <cacheField name="Cost_Price" numFmtId="0">
      <sharedItems containsSemiMixedTypes="0" containsString="0" containsNumber="1" containsInteger="1" minValue="30" maxValue="40000"/>
    </cacheField>
    <cacheField name="Selling_Price" numFmtId="0">
      <sharedItems containsSemiMixedTypes="0" containsString="0" containsNumber="1" containsInteger="1" minValue="50" maxValue="50000"/>
    </cacheField>
    <cacheField name="Revenue" numFmtId="0">
      <sharedItems containsSemiMixedTypes="0" containsString="0" containsNumber="1" containsInteger="1" minValue="0" maxValue="4100000"/>
    </cacheField>
    <cacheField name="Total cost" numFmtId="0">
      <sharedItems containsSemiMixedTypes="0" containsString="0" containsNumber="1" containsInteger="1" minValue="0" maxValue="3280000"/>
    </cacheField>
    <cacheField name="profit" numFmtId="0">
      <sharedItems containsSemiMixedTypes="0" containsString="0" containsNumber="1" containsInteger="1" minValue="0" maxValue="820000"/>
    </cacheField>
    <cacheField name="Profit margin" numFmtId="9">
      <sharedItems containsSemiMixedTypes="0" containsString="0" containsNumber="1" minValue="0" maxValue="0.625"/>
    </cacheField>
    <cacheField name="Slow moving flag" numFmtId="0">
      <sharedItems count="2">
        <s v="Slow Moving"/>
        <s v="Normal"/>
      </sharedItems>
    </cacheField>
    <cacheField name="Dead Stock flag" numFmtId="0">
      <sharedItems/>
    </cacheField>
    <cacheField name="Low Margin Risk" numFmtId="0">
      <sharedItems/>
    </cacheField>
    <cacheField name="Overstock Risk" numFmtId="0">
      <sharedItems containsNonDate="0" containsString="0" containsBlank="1"/>
    </cacheField>
    <cacheField name="Average_Inventory" numFmtId="0">
      <sharedItems containsSemiMixedTypes="0" containsString="0" containsNumber="1" minValue="6.5" maxValue="713"/>
    </cacheField>
    <cacheField name="Aging Bucket" numFmtId="0">
      <sharedItems count="4">
        <s v="0-30 Days"/>
        <s v="30-60 Days"/>
        <s v="90+ Days"/>
        <s v="60-90 Days"/>
      </sharedItems>
    </cacheField>
    <cacheField name="Inventory_Value" numFmtId="0">
      <sharedItems containsSemiMixedTypes="0" containsString="0" containsNumber="1" containsInteger="1" minValue="0" maxValue="2920000"/>
    </cacheField>
    <cacheField name="Total Revenue" numFmtId="0">
      <sharedItems containsSemiMixedTypes="0" containsString="0" containsNumber="1" containsInteger="1" minValue="0" maxValue="336200000"/>
    </cacheField>
  </cacheFields>
  <extLst>
    <ext xmlns:x14="http://schemas.microsoft.com/office/spreadsheetml/2009/9/main" uri="{725AE2AE-9491-48be-B2B4-4EB974FC3084}">
      <x14:pivotCacheDefinition pivotCacheId="10136713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s v="P001"/>
    <x v="0"/>
    <x v="0"/>
    <x v="0"/>
    <x v="0"/>
    <n v="29"/>
    <n v="2"/>
    <n v="27"/>
    <n v="40000"/>
    <n v="50000"/>
    <n v="100000"/>
    <n v="80000"/>
    <n v="20000"/>
    <n v="0.2"/>
    <x v="0"/>
    <s v=""/>
    <s v=""/>
    <m/>
    <n v="28"/>
    <x v="0"/>
    <n v="1080000"/>
    <n v="200000"/>
  </r>
  <r>
    <s v="P001"/>
    <x v="0"/>
    <x v="0"/>
    <x v="0"/>
    <x v="1"/>
    <n v="98"/>
    <n v="42"/>
    <n v="56"/>
    <n v="40000"/>
    <n v="50000"/>
    <n v="2100000"/>
    <n v="1680000"/>
    <n v="420000"/>
    <n v="0.2"/>
    <x v="1"/>
    <s v=""/>
    <s v=""/>
    <m/>
    <n v="77"/>
    <x v="1"/>
    <n v="2240000"/>
    <n v="88200000"/>
  </r>
  <r>
    <s v="P001"/>
    <x v="0"/>
    <x v="0"/>
    <x v="0"/>
    <x v="2"/>
    <n v="60"/>
    <n v="0"/>
    <n v="60"/>
    <n v="40000"/>
    <n v="50000"/>
    <n v="0"/>
    <n v="0"/>
    <n v="0"/>
    <n v="0"/>
    <x v="0"/>
    <s v="Dead Stock"/>
    <s v="Low Margin"/>
    <m/>
    <n v="60"/>
    <x v="1"/>
    <n v="2400000"/>
    <n v="0"/>
  </r>
  <r>
    <s v="P001"/>
    <x v="0"/>
    <x v="0"/>
    <x v="0"/>
    <x v="3"/>
    <n v="83"/>
    <n v="82"/>
    <n v="1"/>
    <n v="40000"/>
    <n v="50000"/>
    <n v="4100000"/>
    <n v="3280000"/>
    <n v="820000"/>
    <n v="0.2"/>
    <x v="1"/>
    <s v=""/>
    <s v=""/>
    <m/>
    <n v="42"/>
    <x v="0"/>
    <n v="40000"/>
    <n v="336200000"/>
  </r>
  <r>
    <s v="P001"/>
    <x v="0"/>
    <x v="0"/>
    <x v="0"/>
    <x v="4"/>
    <n v="22"/>
    <n v="0"/>
    <n v="22"/>
    <n v="40000"/>
    <n v="50000"/>
    <n v="0"/>
    <n v="0"/>
    <n v="0"/>
    <n v="0"/>
    <x v="0"/>
    <s v="Dead Stock"/>
    <s v="Low Margin"/>
    <m/>
    <n v="22"/>
    <x v="0"/>
    <n v="880000"/>
    <n v="0"/>
  </r>
  <r>
    <s v="P001"/>
    <x v="0"/>
    <x v="0"/>
    <x v="0"/>
    <x v="5"/>
    <n v="79"/>
    <n v="6"/>
    <n v="73"/>
    <n v="40000"/>
    <n v="50000"/>
    <n v="300000"/>
    <n v="240000"/>
    <n v="60000"/>
    <n v="0.2"/>
    <x v="0"/>
    <s v=""/>
    <s v=""/>
    <m/>
    <n v="76"/>
    <x v="1"/>
    <n v="2920000"/>
    <n v="1800000"/>
  </r>
  <r>
    <s v="P001"/>
    <x v="0"/>
    <x v="0"/>
    <x v="1"/>
    <x v="0"/>
    <n v="32"/>
    <n v="8"/>
    <n v="24"/>
    <n v="40000"/>
    <n v="50000"/>
    <n v="400000"/>
    <n v="320000"/>
    <n v="80000"/>
    <n v="0.2"/>
    <x v="0"/>
    <s v=""/>
    <s v=""/>
    <m/>
    <n v="28"/>
    <x v="0"/>
    <n v="960000"/>
    <n v="3200000"/>
  </r>
  <r>
    <s v="P001"/>
    <x v="0"/>
    <x v="0"/>
    <x v="1"/>
    <x v="1"/>
    <n v="24"/>
    <n v="7"/>
    <n v="17"/>
    <n v="40000"/>
    <n v="50000"/>
    <n v="350000"/>
    <n v="280000"/>
    <n v="70000"/>
    <n v="0.2"/>
    <x v="0"/>
    <s v=""/>
    <s v=""/>
    <m/>
    <n v="20.5"/>
    <x v="0"/>
    <n v="680000"/>
    <n v="2450000"/>
  </r>
  <r>
    <s v="P001"/>
    <x v="0"/>
    <x v="0"/>
    <x v="1"/>
    <x v="2"/>
    <n v="31"/>
    <n v="21"/>
    <n v="10"/>
    <n v="40000"/>
    <n v="50000"/>
    <n v="1050000"/>
    <n v="840000"/>
    <n v="210000"/>
    <n v="0.2"/>
    <x v="1"/>
    <s v=""/>
    <s v=""/>
    <m/>
    <n v="20.5"/>
    <x v="0"/>
    <n v="400000"/>
    <n v="22050000"/>
  </r>
  <r>
    <s v="P001"/>
    <x v="0"/>
    <x v="0"/>
    <x v="1"/>
    <x v="3"/>
    <n v="51"/>
    <n v="17"/>
    <n v="34"/>
    <n v="40000"/>
    <n v="50000"/>
    <n v="850000"/>
    <n v="680000"/>
    <n v="170000"/>
    <n v="0.2"/>
    <x v="0"/>
    <s v=""/>
    <s v=""/>
    <m/>
    <n v="42.5"/>
    <x v="0"/>
    <n v="1360000"/>
    <n v="14450000"/>
  </r>
  <r>
    <s v="P001"/>
    <x v="0"/>
    <x v="0"/>
    <x v="1"/>
    <x v="4"/>
    <n v="36"/>
    <n v="27"/>
    <n v="9"/>
    <n v="40000"/>
    <n v="50000"/>
    <n v="1350000"/>
    <n v="1080000"/>
    <n v="270000"/>
    <n v="0.2"/>
    <x v="1"/>
    <s v=""/>
    <s v=""/>
    <m/>
    <n v="22.5"/>
    <x v="0"/>
    <n v="360000"/>
    <n v="36450000"/>
  </r>
  <r>
    <s v="P001"/>
    <x v="0"/>
    <x v="0"/>
    <x v="1"/>
    <x v="5"/>
    <n v="53"/>
    <n v="14"/>
    <n v="39"/>
    <n v="40000"/>
    <n v="50000"/>
    <n v="700000"/>
    <n v="560000"/>
    <n v="140000"/>
    <n v="0.2"/>
    <x v="0"/>
    <s v=""/>
    <s v=""/>
    <m/>
    <n v="46"/>
    <x v="0"/>
    <n v="1560000"/>
    <n v="9800000"/>
  </r>
  <r>
    <s v="P001"/>
    <x v="0"/>
    <x v="0"/>
    <x v="2"/>
    <x v="0"/>
    <n v="67"/>
    <n v="27"/>
    <n v="40"/>
    <n v="40000"/>
    <n v="50000"/>
    <n v="1350000"/>
    <n v="1080000"/>
    <n v="270000"/>
    <n v="0.2"/>
    <x v="1"/>
    <s v=""/>
    <s v=""/>
    <m/>
    <n v="53.5"/>
    <x v="0"/>
    <n v="1600000"/>
    <n v="36450000"/>
  </r>
  <r>
    <s v="P001"/>
    <x v="0"/>
    <x v="0"/>
    <x v="2"/>
    <x v="1"/>
    <n v="95"/>
    <n v="54"/>
    <n v="41"/>
    <n v="40000"/>
    <n v="50000"/>
    <n v="2700000"/>
    <n v="2160000"/>
    <n v="540000"/>
    <n v="0.2"/>
    <x v="1"/>
    <s v=""/>
    <s v=""/>
    <m/>
    <n v="68"/>
    <x v="0"/>
    <n v="1640000"/>
    <n v="145800000"/>
  </r>
  <r>
    <s v="P001"/>
    <x v="0"/>
    <x v="0"/>
    <x v="2"/>
    <x v="2"/>
    <n v="29"/>
    <n v="15"/>
    <n v="14"/>
    <n v="40000"/>
    <n v="50000"/>
    <n v="750000"/>
    <n v="600000"/>
    <n v="150000"/>
    <n v="0.2"/>
    <x v="0"/>
    <s v=""/>
    <s v=""/>
    <m/>
    <n v="21.5"/>
    <x v="0"/>
    <n v="560000"/>
    <n v="11250000"/>
  </r>
  <r>
    <s v="P001"/>
    <x v="0"/>
    <x v="0"/>
    <x v="2"/>
    <x v="3"/>
    <n v="70"/>
    <n v="10"/>
    <n v="60"/>
    <n v="40000"/>
    <n v="50000"/>
    <n v="500000"/>
    <n v="400000"/>
    <n v="100000"/>
    <n v="0.2"/>
    <x v="0"/>
    <s v=""/>
    <s v=""/>
    <m/>
    <n v="65"/>
    <x v="1"/>
    <n v="2400000"/>
    <n v="5000000"/>
  </r>
  <r>
    <s v="P001"/>
    <x v="0"/>
    <x v="0"/>
    <x v="2"/>
    <x v="4"/>
    <n v="21"/>
    <n v="21"/>
    <n v="0"/>
    <n v="40000"/>
    <n v="50000"/>
    <n v="1050000"/>
    <n v="840000"/>
    <n v="210000"/>
    <n v="0.2"/>
    <x v="1"/>
    <s v=""/>
    <s v=""/>
    <m/>
    <n v="10.5"/>
    <x v="0"/>
    <n v="0"/>
    <n v="22050000"/>
  </r>
  <r>
    <s v="P001"/>
    <x v="0"/>
    <x v="0"/>
    <x v="2"/>
    <x v="5"/>
    <n v="75"/>
    <n v="4"/>
    <n v="71"/>
    <n v="40000"/>
    <n v="50000"/>
    <n v="200000"/>
    <n v="160000"/>
    <n v="40000"/>
    <n v="0.2"/>
    <x v="0"/>
    <s v=""/>
    <s v=""/>
    <m/>
    <n v="73"/>
    <x v="1"/>
    <n v="2840000"/>
    <n v="800000"/>
  </r>
  <r>
    <s v="P001"/>
    <x v="0"/>
    <x v="0"/>
    <x v="3"/>
    <x v="0"/>
    <n v="68"/>
    <n v="21"/>
    <n v="47"/>
    <n v="40000"/>
    <n v="50000"/>
    <n v="1050000"/>
    <n v="840000"/>
    <n v="210000"/>
    <n v="0.2"/>
    <x v="1"/>
    <s v=""/>
    <s v=""/>
    <m/>
    <n v="57.5"/>
    <x v="0"/>
    <n v="1880000"/>
    <n v="22050000"/>
  </r>
  <r>
    <s v="P001"/>
    <x v="0"/>
    <x v="0"/>
    <x v="3"/>
    <x v="1"/>
    <n v="38"/>
    <n v="9"/>
    <n v="29"/>
    <n v="40000"/>
    <n v="50000"/>
    <n v="450000"/>
    <n v="360000"/>
    <n v="90000"/>
    <n v="0.2"/>
    <x v="0"/>
    <s v=""/>
    <s v=""/>
    <m/>
    <n v="33.5"/>
    <x v="0"/>
    <n v="1160000"/>
    <n v="4050000"/>
  </r>
  <r>
    <s v="P001"/>
    <x v="0"/>
    <x v="0"/>
    <x v="3"/>
    <x v="2"/>
    <n v="37"/>
    <n v="13"/>
    <n v="24"/>
    <n v="40000"/>
    <n v="50000"/>
    <n v="650000"/>
    <n v="520000"/>
    <n v="130000"/>
    <n v="0.2"/>
    <x v="0"/>
    <s v=""/>
    <s v=""/>
    <m/>
    <n v="30.5"/>
    <x v="0"/>
    <n v="960000"/>
    <n v="8450000"/>
  </r>
  <r>
    <s v="P001"/>
    <x v="0"/>
    <x v="0"/>
    <x v="3"/>
    <x v="3"/>
    <n v="78"/>
    <n v="51"/>
    <n v="27"/>
    <n v="40000"/>
    <n v="50000"/>
    <n v="2550000"/>
    <n v="2040000"/>
    <n v="510000"/>
    <n v="0.2"/>
    <x v="1"/>
    <s v=""/>
    <s v=""/>
    <m/>
    <n v="52.5"/>
    <x v="0"/>
    <n v="1080000"/>
    <n v="130050000"/>
  </r>
  <r>
    <s v="P001"/>
    <x v="0"/>
    <x v="0"/>
    <x v="3"/>
    <x v="4"/>
    <n v="26"/>
    <n v="13"/>
    <n v="13"/>
    <n v="40000"/>
    <n v="50000"/>
    <n v="650000"/>
    <n v="520000"/>
    <n v="130000"/>
    <n v="0.2"/>
    <x v="0"/>
    <s v=""/>
    <s v=""/>
    <m/>
    <n v="19.5"/>
    <x v="0"/>
    <n v="520000"/>
    <n v="8450000"/>
  </r>
  <r>
    <s v="P001"/>
    <x v="0"/>
    <x v="0"/>
    <x v="3"/>
    <x v="5"/>
    <n v="51"/>
    <n v="15"/>
    <n v="36"/>
    <n v="40000"/>
    <n v="50000"/>
    <n v="750000"/>
    <n v="600000"/>
    <n v="150000"/>
    <n v="0.2"/>
    <x v="0"/>
    <s v=""/>
    <s v=""/>
    <m/>
    <n v="43.5"/>
    <x v="0"/>
    <n v="1440000"/>
    <n v="11250000"/>
  </r>
  <r>
    <s v="P002"/>
    <x v="1"/>
    <x v="0"/>
    <x v="0"/>
    <x v="0"/>
    <n v="49"/>
    <n v="3"/>
    <n v="46"/>
    <n v="15000"/>
    <n v="20000"/>
    <n v="60000"/>
    <n v="45000"/>
    <n v="15000"/>
    <n v="0.25"/>
    <x v="0"/>
    <s v=""/>
    <s v=""/>
    <m/>
    <n v="47.5"/>
    <x v="0"/>
    <n v="690000"/>
    <n v="180000"/>
  </r>
  <r>
    <s v="P002"/>
    <x v="1"/>
    <x v="0"/>
    <x v="0"/>
    <x v="1"/>
    <n v="31"/>
    <n v="25"/>
    <n v="6"/>
    <n v="15000"/>
    <n v="20000"/>
    <n v="500000"/>
    <n v="375000"/>
    <n v="125000"/>
    <n v="0.25"/>
    <x v="1"/>
    <s v=""/>
    <s v=""/>
    <m/>
    <n v="18.5"/>
    <x v="0"/>
    <n v="90000"/>
    <n v="12500000"/>
  </r>
  <r>
    <s v="P002"/>
    <x v="1"/>
    <x v="0"/>
    <x v="0"/>
    <x v="2"/>
    <n v="87"/>
    <n v="8"/>
    <n v="79"/>
    <n v="15000"/>
    <n v="20000"/>
    <n v="160000"/>
    <n v="120000"/>
    <n v="40000"/>
    <n v="0.25"/>
    <x v="0"/>
    <s v=""/>
    <s v=""/>
    <m/>
    <n v="83"/>
    <x v="1"/>
    <n v="1185000"/>
    <n v="1280000"/>
  </r>
  <r>
    <s v="P002"/>
    <x v="1"/>
    <x v="0"/>
    <x v="0"/>
    <x v="3"/>
    <n v="67"/>
    <n v="3"/>
    <n v="64"/>
    <n v="15000"/>
    <n v="20000"/>
    <n v="60000"/>
    <n v="45000"/>
    <n v="15000"/>
    <n v="0.25"/>
    <x v="0"/>
    <s v=""/>
    <s v=""/>
    <m/>
    <n v="65.5"/>
    <x v="1"/>
    <n v="960000"/>
    <n v="180000"/>
  </r>
  <r>
    <s v="P002"/>
    <x v="1"/>
    <x v="0"/>
    <x v="0"/>
    <x v="4"/>
    <n v="99"/>
    <n v="5"/>
    <n v="94"/>
    <n v="15000"/>
    <n v="20000"/>
    <n v="100000"/>
    <n v="75000"/>
    <n v="25000"/>
    <n v="0.25"/>
    <x v="0"/>
    <s v=""/>
    <s v=""/>
    <m/>
    <n v="96.5"/>
    <x v="1"/>
    <n v="1410000"/>
    <n v="500000"/>
  </r>
  <r>
    <s v="P002"/>
    <x v="1"/>
    <x v="0"/>
    <x v="0"/>
    <x v="5"/>
    <n v="58"/>
    <n v="25"/>
    <n v="33"/>
    <n v="15000"/>
    <n v="20000"/>
    <n v="500000"/>
    <n v="375000"/>
    <n v="125000"/>
    <n v="0.25"/>
    <x v="1"/>
    <s v=""/>
    <s v=""/>
    <m/>
    <n v="45.5"/>
    <x v="0"/>
    <n v="495000"/>
    <n v="12500000"/>
  </r>
  <r>
    <s v="P002"/>
    <x v="1"/>
    <x v="0"/>
    <x v="1"/>
    <x v="0"/>
    <n v="69"/>
    <n v="39"/>
    <n v="30"/>
    <n v="15000"/>
    <n v="20000"/>
    <n v="780000"/>
    <n v="585000"/>
    <n v="195000"/>
    <n v="0.25"/>
    <x v="1"/>
    <s v=""/>
    <s v=""/>
    <m/>
    <n v="49.5"/>
    <x v="0"/>
    <n v="450000"/>
    <n v="30420000"/>
  </r>
  <r>
    <s v="P002"/>
    <x v="1"/>
    <x v="0"/>
    <x v="1"/>
    <x v="1"/>
    <n v="82"/>
    <n v="72"/>
    <n v="10"/>
    <n v="15000"/>
    <n v="20000"/>
    <n v="1440000"/>
    <n v="1080000"/>
    <n v="360000"/>
    <n v="0.25"/>
    <x v="1"/>
    <s v=""/>
    <s v=""/>
    <m/>
    <n v="46"/>
    <x v="0"/>
    <n v="150000"/>
    <n v="103680000"/>
  </r>
  <r>
    <s v="P002"/>
    <x v="1"/>
    <x v="0"/>
    <x v="1"/>
    <x v="2"/>
    <n v="56"/>
    <n v="2"/>
    <n v="54"/>
    <n v="15000"/>
    <n v="20000"/>
    <n v="40000"/>
    <n v="30000"/>
    <n v="10000"/>
    <n v="0.25"/>
    <x v="0"/>
    <s v=""/>
    <s v=""/>
    <m/>
    <n v="55"/>
    <x v="1"/>
    <n v="810000"/>
    <n v="80000"/>
  </r>
  <r>
    <s v="P002"/>
    <x v="1"/>
    <x v="0"/>
    <x v="1"/>
    <x v="3"/>
    <n v="25"/>
    <n v="24"/>
    <n v="1"/>
    <n v="15000"/>
    <n v="20000"/>
    <n v="480000"/>
    <n v="360000"/>
    <n v="120000"/>
    <n v="0.25"/>
    <x v="1"/>
    <s v=""/>
    <s v=""/>
    <m/>
    <n v="13"/>
    <x v="0"/>
    <n v="15000"/>
    <n v="11520000"/>
  </r>
  <r>
    <s v="P002"/>
    <x v="1"/>
    <x v="0"/>
    <x v="1"/>
    <x v="4"/>
    <n v="38"/>
    <n v="36"/>
    <n v="2"/>
    <n v="15000"/>
    <n v="20000"/>
    <n v="720000"/>
    <n v="540000"/>
    <n v="180000"/>
    <n v="0.25"/>
    <x v="1"/>
    <s v=""/>
    <s v=""/>
    <m/>
    <n v="20"/>
    <x v="0"/>
    <n v="30000"/>
    <n v="25920000"/>
  </r>
  <r>
    <s v="P002"/>
    <x v="1"/>
    <x v="0"/>
    <x v="1"/>
    <x v="5"/>
    <n v="51"/>
    <n v="31"/>
    <n v="20"/>
    <n v="15000"/>
    <n v="20000"/>
    <n v="620000"/>
    <n v="465000"/>
    <n v="155000"/>
    <n v="0.25"/>
    <x v="1"/>
    <s v=""/>
    <s v=""/>
    <m/>
    <n v="35.5"/>
    <x v="0"/>
    <n v="300000"/>
    <n v="19220000"/>
  </r>
  <r>
    <s v="P002"/>
    <x v="1"/>
    <x v="0"/>
    <x v="2"/>
    <x v="0"/>
    <n v="44"/>
    <n v="10"/>
    <n v="34"/>
    <n v="15000"/>
    <n v="20000"/>
    <n v="200000"/>
    <n v="150000"/>
    <n v="50000"/>
    <n v="0.25"/>
    <x v="0"/>
    <s v=""/>
    <s v=""/>
    <m/>
    <n v="39"/>
    <x v="0"/>
    <n v="510000"/>
    <n v="2000000"/>
  </r>
  <r>
    <s v="P002"/>
    <x v="1"/>
    <x v="0"/>
    <x v="2"/>
    <x v="1"/>
    <n v="38"/>
    <n v="26"/>
    <n v="12"/>
    <n v="15000"/>
    <n v="20000"/>
    <n v="520000"/>
    <n v="390000"/>
    <n v="130000"/>
    <n v="0.25"/>
    <x v="1"/>
    <s v=""/>
    <s v=""/>
    <m/>
    <n v="25"/>
    <x v="0"/>
    <n v="180000"/>
    <n v="13520000"/>
  </r>
  <r>
    <s v="P002"/>
    <x v="1"/>
    <x v="0"/>
    <x v="2"/>
    <x v="2"/>
    <n v="69"/>
    <n v="24"/>
    <n v="45"/>
    <n v="15000"/>
    <n v="20000"/>
    <n v="480000"/>
    <n v="360000"/>
    <n v="120000"/>
    <n v="0.25"/>
    <x v="1"/>
    <s v=""/>
    <s v=""/>
    <m/>
    <n v="57"/>
    <x v="0"/>
    <n v="675000"/>
    <n v="11520000"/>
  </r>
  <r>
    <s v="P002"/>
    <x v="1"/>
    <x v="0"/>
    <x v="2"/>
    <x v="3"/>
    <n v="60"/>
    <n v="18"/>
    <n v="42"/>
    <n v="15000"/>
    <n v="20000"/>
    <n v="360000"/>
    <n v="270000"/>
    <n v="90000"/>
    <n v="0.25"/>
    <x v="0"/>
    <s v=""/>
    <s v=""/>
    <m/>
    <n v="51"/>
    <x v="0"/>
    <n v="630000"/>
    <n v="6480000"/>
  </r>
  <r>
    <s v="P002"/>
    <x v="1"/>
    <x v="0"/>
    <x v="2"/>
    <x v="4"/>
    <n v="33"/>
    <n v="32"/>
    <n v="1"/>
    <n v="15000"/>
    <n v="20000"/>
    <n v="640000"/>
    <n v="480000"/>
    <n v="160000"/>
    <n v="0.25"/>
    <x v="1"/>
    <s v=""/>
    <s v=""/>
    <m/>
    <n v="17"/>
    <x v="0"/>
    <n v="15000"/>
    <n v="20480000"/>
  </r>
  <r>
    <s v="P002"/>
    <x v="1"/>
    <x v="0"/>
    <x v="2"/>
    <x v="5"/>
    <n v="86"/>
    <n v="29"/>
    <n v="57"/>
    <n v="15000"/>
    <n v="20000"/>
    <n v="580000"/>
    <n v="435000"/>
    <n v="145000"/>
    <n v="0.25"/>
    <x v="1"/>
    <s v=""/>
    <s v=""/>
    <m/>
    <n v="71.5"/>
    <x v="1"/>
    <n v="855000"/>
    <n v="16820000"/>
  </r>
  <r>
    <s v="P002"/>
    <x v="1"/>
    <x v="0"/>
    <x v="3"/>
    <x v="0"/>
    <n v="64"/>
    <n v="27"/>
    <n v="37"/>
    <n v="15000"/>
    <n v="20000"/>
    <n v="540000"/>
    <n v="405000"/>
    <n v="135000"/>
    <n v="0.25"/>
    <x v="1"/>
    <s v=""/>
    <s v=""/>
    <m/>
    <n v="50.5"/>
    <x v="0"/>
    <n v="555000"/>
    <n v="14580000"/>
  </r>
  <r>
    <s v="P002"/>
    <x v="1"/>
    <x v="0"/>
    <x v="3"/>
    <x v="1"/>
    <n v="37"/>
    <n v="4"/>
    <n v="33"/>
    <n v="15000"/>
    <n v="20000"/>
    <n v="80000"/>
    <n v="60000"/>
    <n v="20000"/>
    <n v="0.25"/>
    <x v="0"/>
    <s v=""/>
    <s v=""/>
    <m/>
    <n v="35"/>
    <x v="0"/>
    <n v="495000"/>
    <n v="320000"/>
  </r>
  <r>
    <s v="P002"/>
    <x v="1"/>
    <x v="0"/>
    <x v="3"/>
    <x v="2"/>
    <n v="41"/>
    <n v="34"/>
    <n v="7"/>
    <n v="15000"/>
    <n v="20000"/>
    <n v="680000"/>
    <n v="510000"/>
    <n v="170000"/>
    <n v="0.25"/>
    <x v="1"/>
    <s v=""/>
    <s v=""/>
    <m/>
    <n v="24"/>
    <x v="0"/>
    <n v="105000"/>
    <n v="23120000"/>
  </r>
  <r>
    <s v="P002"/>
    <x v="1"/>
    <x v="0"/>
    <x v="3"/>
    <x v="3"/>
    <n v="21"/>
    <n v="7"/>
    <n v="14"/>
    <n v="15000"/>
    <n v="20000"/>
    <n v="140000"/>
    <n v="105000"/>
    <n v="35000"/>
    <n v="0.25"/>
    <x v="0"/>
    <s v=""/>
    <s v=""/>
    <m/>
    <n v="17.5"/>
    <x v="0"/>
    <n v="210000"/>
    <n v="980000"/>
  </r>
  <r>
    <s v="P002"/>
    <x v="1"/>
    <x v="0"/>
    <x v="3"/>
    <x v="4"/>
    <n v="80"/>
    <n v="31"/>
    <n v="49"/>
    <n v="15000"/>
    <n v="20000"/>
    <n v="620000"/>
    <n v="465000"/>
    <n v="155000"/>
    <n v="0.25"/>
    <x v="1"/>
    <s v=""/>
    <s v=""/>
    <m/>
    <n v="64.5"/>
    <x v="0"/>
    <n v="735000"/>
    <n v="19220000"/>
  </r>
  <r>
    <s v="P002"/>
    <x v="1"/>
    <x v="0"/>
    <x v="3"/>
    <x v="5"/>
    <n v="48"/>
    <n v="48"/>
    <n v="0"/>
    <n v="15000"/>
    <n v="20000"/>
    <n v="960000"/>
    <n v="720000"/>
    <n v="240000"/>
    <n v="0.25"/>
    <x v="1"/>
    <s v=""/>
    <s v=""/>
    <m/>
    <n v="24"/>
    <x v="0"/>
    <n v="0"/>
    <n v="46080000"/>
  </r>
  <r>
    <s v="P003"/>
    <x v="2"/>
    <x v="0"/>
    <x v="0"/>
    <x v="0"/>
    <n v="64"/>
    <n v="25"/>
    <n v="39"/>
    <n v="30000"/>
    <n v="38000"/>
    <n v="950000"/>
    <n v="750000"/>
    <n v="200000"/>
    <n v="0.21052631578947367"/>
    <x v="1"/>
    <s v=""/>
    <s v=""/>
    <m/>
    <n v="51.5"/>
    <x v="0"/>
    <n v="1170000"/>
    <n v="23750000"/>
  </r>
  <r>
    <s v="P003"/>
    <x v="2"/>
    <x v="0"/>
    <x v="0"/>
    <x v="1"/>
    <n v="86"/>
    <n v="32"/>
    <n v="54"/>
    <n v="30000"/>
    <n v="38000"/>
    <n v="1216000"/>
    <n v="960000"/>
    <n v="256000"/>
    <n v="0.21052631578947367"/>
    <x v="1"/>
    <s v=""/>
    <s v=""/>
    <m/>
    <n v="70"/>
    <x v="1"/>
    <n v="1620000"/>
    <n v="38912000"/>
  </r>
  <r>
    <s v="P003"/>
    <x v="2"/>
    <x v="0"/>
    <x v="0"/>
    <x v="2"/>
    <n v="98"/>
    <n v="66"/>
    <n v="32"/>
    <n v="30000"/>
    <n v="38000"/>
    <n v="2508000"/>
    <n v="1980000"/>
    <n v="528000"/>
    <n v="0.21052631578947367"/>
    <x v="1"/>
    <s v=""/>
    <s v=""/>
    <m/>
    <n v="65"/>
    <x v="0"/>
    <n v="960000"/>
    <n v="165528000"/>
  </r>
  <r>
    <s v="P003"/>
    <x v="2"/>
    <x v="0"/>
    <x v="0"/>
    <x v="3"/>
    <n v="20"/>
    <n v="12"/>
    <n v="8"/>
    <n v="30000"/>
    <n v="38000"/>
    <n v="456000"/>
    <n v="360000"/>
    <n v="96000"/>
    <n v="0.21052631578947367"/>
    <x v="0"/>
    <s v=""/>
    <s v=""/>
    <m/>
    <n v="14"/>
    <x v="0"/>
    <n v="240000"/>
    <n v="5472000"/>
  </r>
  <r>
    <s v="P003"/>
    <x v="2"/>
    <x v="0"/>
    <x v="0"/>
    <x v="4"/>
    <n v="40"/>
    <n v="4"/>
    <n v="36"/>
    <n v="30000"/>
    <n v="38000"/>
    <n v="152000"/>
    <n v="120000"/>
    <n v="32000"/>
    <n v="0.21052631578947367"/>
    <x v="0"/>
    <s v=""/>
    <s v=""/>
    <m/>
    <n v="38"/>
    <x v="0"/>
    <n v="1080000"/>
    <n v="608000"/>
  </r>
  <r>
    <s v="P003"/>
    <x v="2"/>
    <x v="0"/>
    <x v="0"/>
    <x v="5"/>
    <n v="71"/>
    <n v="9"/>
    <n v="62"/>
    <n v="30000"/>
    <n v="38000"/>
    <n v="342000"/>
    <n v="270000"/>
    <n v="72000"/>
    <n v="0.21052631578947367"/>
    <x v="0"/>
    <s v=""/>
    <s v=""/>
    <m/>
    <n v="66.5"/>
    <x v="1"/>
    <n v="1860000"/>
    <n v="3078000"/>
  </r>
  <r>
    <s v="P003"/>
    <x v="2"/>
    <x v="0"/>
    <x v="1"/>
    <x v="0"/>
    <n v="90"/>
    <n v="41"/>
    <n v="49"/>
    <n v="30000"/>
    <n v="38000"/>
    <n v="1558000"/>
    <n v="1230000"/>
    <n v="328000"/>
    <n v="0.21052631578947367"/>
    <x v="1"/>
    <s v=""/>
    <s v=""/>
    <m/>
    <n v="69.5"/>
    <x v="0"/>
    <n v="1470000"/>
    <n v="63878000"/>
  </r>
  <r>
    <s v="P003"/>
    <x v="2"/>
    <x v="0"/>
    <x v="1"/>
    <x v="1"/>
    <n v="59"/>
    <n v="52"/>
    <n v="7"/>
    <n v="30000"/>
    <n v="38000"/>
    <n v="1976000"/>
    <n v="1560000"/>
    <n v="416000"/>
    <n v="0.21052631578947367"/>
    <x v="1"/>
    <s v=""/>
    <s v=""/>
    <m/>
    <n v="33"/>
    <x v="0"/>
    <n v="210000"/>
    <n v="102752000"/>
  </r>
  <r>
    <s v="P003"/>
    <x v="2"/>
    <x v="0"/>
    <x v="1"/>
    <x v="2"/>
    <n v="35"/>
    <n v="6"/>
    <n v="29"/>
    <n v="30000"/>
    <n v="38000"/>
    <n v="228000"/>
    <n v="180000"/>
    <n v="48000"/>
    <n v="0.21052631578947367"/>
    <x v="0"/>
    <s v=""/>
    <s v=""/>
    <m/>
    <n v="32"/>
    <x v="0"/>
    <n v="870000"/>
    <n v="1368000"/>
  </r>
  <r>
    <s v="P003"/>
    <x v="2"/>
    <x v="0"/>
    <x v="1"/>
    <x v="3"/>
    <n v="73"/>
    <n v="20"/>
    <n v="53"/>
    <n v="30000"/>
    <n v="38000"/>
    <n v="760000"/>
    <n v="600000"/>
    <n v="160000"/>
    <n v="0.21052631578947367"/>
    <x v="1"/>
    <s v=""/>
    <s v=""/>
    <m/>
    <n v="63"/>
    <x v="1"/>
    <n v="1590000"/>
    <n v="15200000"/>
  </r>
  <r>
    <s v="P003"/>
    <x v="2"/>
    <x v="0"/>
    <x v="1"/>
    <x v="4"/>
    <n v="33"/>
    <n v="18"/>
    <n v="15"/>
    <n v="30000"/>
    <n v="38000"/>
    <n v="684000"/>
    <n v="540000"/>
    <n v="144000"/>
    <n v="0.21052631578947367"/>
    <x v="0"/>
    <s v=""/>
    <s v=""/>
    <m/>
    <n v="24"/>
    <x v="0"/>
    <n v="450000"/>
    <n v="12312000"/>
  </r>
  <r>
    <s v="P003"/>
    <x v="2"/>
    <x v="0"/>
    <x v="1"/>
    <x v="5"/>
    <n v="92"/>
    <n v="6"/>
    <n v="86"/>
    <n v="30000"/>
    <n v="38000"/>
    <n v="228000"/>
    <n v="180000"/>
    <n v="48000"/>
    <n v="0.21052631578947367"/>
    <x v="0"/>
    <s v=""/>
    <s v=""/>
    <m/>
    <n v="89"/>
    <x v="1"/>
    <n v="2580000"/>
    <n v="1368000"/>
  </r>
  <r>
    <s v="P003"/>
    <x v="2"/>
    <x v="0"/>
    <x v="2"/>
    <x v="0"/>
    <n v="24"/>
    <n v="18"/>
    <n v="6"/>
    <n v="30000"/>
    <n v="38000"/>
    <n v="684000"/>
    <n v="540000"/>
    <n v="144000"/>
    <n v="0.21052631578947367"/>
    <x v="0"/>
    <s v=""/>
    <s v=""/>
    <m/>
    <n v="15"/>
    <x v="0"/>
    <n v="180000"/>
    <n v="12312000"/>
  </r>
  <r>
    <s v="P003"/>
    <x v="2"/>
    <x v="0"/>
    <x v="2"/>
    <x v="1"/>
    <n v="97"/>
    <n v="24"/>
    <n v="73"/>
    <n v="30000"/>
    <n v="38000"/>
    <n v="912000"/>
    <n v="720000"/>
    <n v="192000"/>
    <n v="0.21052631578947367"/>
    <x v="1"/>
    <s v=""/>
    <s v=""/>
    <m/>
    <n v="85"/>
    <x v="1"/>
    <n v="2190000"/>
    <n v="21888000"/>
  </r>
  <r>
    <s v="P003"/>
    <x v="2"/>
    <x v="0"/>
    <x v="2"/>
    <x v="2"/>
    <n v="86"/>
    <n v="38"/>
    <n v="48"/>
    <n v="30000"/>
    <n v="38000"/>
    <n v="1444000"/>
    <n v="1140000"/>
    <n v="304000"/>
    <n v="0.21052631578947367"/>
    <x v="1"/>
    <s v=""/>
    <s v=""/>
    <m/>
    <n v="67"/>
    <x v="0"/>
    <n v="1440000"/>
    <n v="54872000"/>
  </r>
  <r>
    <s v="P003"/>
    <x v="2"/>
    <x v="0"/>
    <x v="2"/>
    <x v="3"/>
    <n v="87"/>
    <n v="3"/>
    <n v="84"/>
    <n v="30000"/>
    <n v="38000"/>
    <n v="114000"/>
    <n v="90000"/>
    <n v="24000"/>
    <n v="0.21052631578947367"/>
    <x v="0"/>
    <s v=""/>
    <s v=""/>
    <m/>
    <n v="85.5"/>
    <x v="1"/>
    <n v="2520000"/>
    <n v="342000"/>
  </r>
  <r>
    <s v="P003"/>
    <x v="2"/>
    <x v="0"/>
    <x v="2"/>
    <x v="4"/>
    <n v="96"/>
    <n v="40"/>
    <n v="56"/>
    <n v="30000"/>
    <n v="38000"/>
    <n v="1520000"/>
    <n v="1200000"/>
    <n v="320000"/>
    <n v="0.21052631578947367"/>
    <x v="1"/>
    <s v=""/>
    <s v=""/>
    <m/>
    <n v="76"/>
    <x v="1"/>
    <n v="1680000"/>
    <n v="60800000"/>
  </r>
  <r>
    <s v="P003"/>
    <x v="2"/>
    <x v="0"/>
    <x v="2"/>
    <x v="5"/>
    <n v="86"/>
    <n v="67"/>
    <n v="19"/>
    <n v="30000"/>
    <n v="38000"/>
    <n v="2546000"/>
    <n v="2010000"/>
    <n v="536000"/>
    <n v="0.21052631578947367"/>
    <x v="1"/>
    <s v=""/>
    <s v=""/>
    <m/>
    <n v="52.5"/>
    <x v="0"/>
    <n v="570000"/>
    <n v="170582000"/>
  </r>
  <r>
    <s v="P003"/>
    <x v="2"/>
    <x v="0"/>
    <x v="3"/>
    <x v="0"/>
    <n v="52"/>
    <n v="47"/>
    <n v="5"/>
    <n v="30000"/>
    <n v="38000"/>
    <n v="1786000"/>
    <n v="1410000"/>
    <n v="376000"/>
    <n v="0.21052631578947367"/>
    <x v="1"/>
    <s v=""/>
    <s v=""/>
    <m/>
    <n v="28.5"/>
    <x v="0"/>
    <n v="150000"/>
    <n v="83942000"/>
  </r>
  <r>
    <s v="P003"/>
    <x v="2"/>
    <x v="0"/>
    <x v="3"/>
    <x v="1"/>
    <n v="47"/>
    <n v="18"/>
    <n v="29"/>
    <n v="30000"/>
    <n v="38000"/>
    <n v="684000"/>
    <n v="540000"/>
    <n v="144000"/>
    <n v="0.21052631578947367"/>
    <x v="0"/>
    <s v=""/>
    <s v=""/>
    <m/>
    <n v="38"/>
    <x v="0"/>
    <n v="870000"/>
    <n v="12312000"/>
  </r>
  <r>
    <s v="P003"/>
    <x v="2"/>
    <x v="0"/>
    <x v="3"/>
    <x v="2"/>
    <n v="88"/>
    <n v="38"/>
    <n v="50"/>
    <n v="30000"/>
    <n v="38000"/>
    <n v="1444000"/>
    <n v="1140000"/>
    <n v="304000"/>
    <n v="0.21052631578947367"/>
    <x v="1"/>
    <s v=""/>
    <s v=""/>
    <m/>
    <n v="69"/>
    <x v="0"/>
    <n v="1500000"/>
    <n v="54872000"/>
  </r>
  <r>
    <s v="P003"/>
    <x v="2"/>
    <x v="0"/>
    <x v="3"/>
    <x v="3"/>
    <n v="93"/>
    <n v="2"/>
    <n v="91"/>
    <n v="30000"/>
    <n v="38000"/>
    <n v="76000"/>
    <n v="60000"/>
    <n v="16000"/>
    <n v="0.21052631578947367"/>
    <x v="0"/>
    <s v=""/>
    <s v=""/>
    <m/>
    <n v="92"/>
    <x v="1"/>
    <n v="2730000"/>
    <n v="152000"/>
  </r>
  <r>
    <s v="P003"/>
    <x v="2"/>
    <x v="0"/>
    <x v="3"/>
    <x v="4"/>
    <n v="94"/>
    <n v="54"/>
    <n v="40"/>
    <n v="30000"/>
    <n v="38000"/>
    <n v="2052000"/>
    <n v="1620000"/>
    <n v="432000"/>
    <n v="0.21052631578947367"/>
    <x v="1"/>
    <s v=""/>
    <s v=""/>
    <m/>
    <n v="67"/>
    <x v="0"/>
    <n v="1200000"/>
    <n v="110808000"/>
  </r>
  <r>
    <s v="P003"/>
    <x v="2"/>
    <x v="0"/>
    <x v="3"/>
    <x v="5"/>
    <n v="32"/>
    <n v="22"/>
    <n v="10"/>
    <n v="30000"/>
    <n v="38000"/>
    <n v="836000"/>
    <n v="660000"/>
    <n v="176000"/>
    <n v="0.21052631578947367"/>
    <x v="1"/>
    <s v=""/>
    <s v=""/>
    <m/>
    <n v="21"/>
    <x v="0"/>
    <n v="300000"/>
    <n v="18392000"/>
  </r>
  <r>
    <s v="P004"/>
    <x v="3"/>
    <x v="0"/>
    <x v="0"/>
    <x v="0"/>
    <n v="69"/>
    <n v="40"/>
    <n v="29"/>
    <n v="2000"/>
    <n v="3500"/>
    <n v="140000"/>
    <n v="80000"/>
    <n v="60000"/>
    <n v="0.42857142857142855"/>
    <x v="1"/>
    <s v=""/>
    <s v=""/>
    <m/>
    <n v="49"/>
    <x v="0"/>
    <n v="58000"/>
    <n v="5600000"/>
  </r>
  <r>
    <s v="P004"/>
    <x v="3"/>
    <x v="0"/>
    <x v="0"/>
    <x v="1"/>
    <n v="48"/>
    <n v="26"/>
    <n v="22"/>
    <n v="2000"/>
    <n v="3500"/>
    <n v="91000"/>
    <n v="52000"/>
    <n v="39000"/>
    <n v="0.42857142857142855"/>
    <x v="1"/>
    <s v=""/>
    <s v=""/>
    <m/>
    <n v="35"/>
    <x v="0"/>
    <n v="44000"/>
    <n v="2366000"/>
  </r>
  <r>
    <s v="P004"/>
    <x v="3"/>
    <x v="0"/>
    <x v="0"/>
    <x v="2"/>
    <n v="63"/>
    <n v="36"/>
    <n v="27"/>
    <n v="2000"/>
    <n v="3500"/>
    <n v="126000"/>
    <n v="72000"/>
    <n v="54000"/>
    <n v="0.42857142857142855"/>
    <x v="1"/>
    <s v=""/>
    <s v=""/>
    <m/>
    <n v="45"/>
    <x v="0"/>
    <n v="54000"/>
    <n v="4536000"/>
  </r>
  <r>
    <s v="P004"/>
    <x v="3"/>
    <x v="0"/>
    <x v="0"/>
    <x v="3"/>
    <n v="59"/>
    <n v="36"/>
    <n v="23"/>
    <n v="2000"/>
    <n v="3500"/>
    <n v="126000"/>
    <n v="72000"/>
    <n v="54000"/>
    <n v="0.42857142857142855"/>
    <x v="1"/>
    <s v=""/>
    <s v=""/>
    <m/>
    <n v="41"/>
    <x v="0"/>
    <n v="46000"/>
    <n v="4536000"/>
  </r>
  <r>
    <s v="P004"/>
    <x v="3"/>
    <x v="0"/>
    <x v="0"/>
    <x v="4"/>
    <n v="77"/>
    <n v="64"/>
    <n v="13"/>
    <n v="2000"/>
    <n v="3500"/>
    <n v="224000"/>
    <n v="128000"/>
    <n v="96000"/>
    <n v="0.42857142857142855"/>
    <x v="1"/>
    <s v=""/>
    <s v=""/>
    <m/>
    <n v="45"/>
    <x v="0"/>
    <n v="26000"/>
    <n v="14336000"/>
  </r>
  <r>
    <s v="P004"/>
    <x v="3"/>
    <x v="0"/>
    <x v="0"/>
    <x v="5"/>
    <n v="67"/>
    <n v="41"/>
    <n v="26"/>
    <n v="2000"/>
    <n v="3500"/>
    <n v="143500"/>
    <n v="82000"/>
    <n v="61500"/>
    <n v="0.42857142857142855"/>
    <x v="1"/>
    <s v=""/>
    <s v=""/>
    <m/>
    <n v="46.5"/>
    <x v="0"/>
    <n v="52000"/>
    <n v="5883500"/>
  </r>
  <r>
    <s v="P004"/>
    <x v="3"/>
    <x v="0"/>
    <x v="1"/>
    <x v="0"/>
    <n v="89"/>
    <n v="89"/>
    <n v="0"/>
    <n v="2000"/>
    <n v="3500"/>
    <n v="311500"/>
    <n v="178000"/>
    <n v="133500"/>
    <n v="0.42857142857142855"/>
    <x v="1"/>
    <s v=""/>
    <s v=""/>
    <m/>
    <n v="44.5"/>
    <x v="0"/>
    <n v="0"/>
    <n v="27723500"/>
  </r>
  <r>
    <s v="P004"/>
    <x v="3"/>
    <x v="0"/>
    <x v="1"/>
    <x v="1"/>
    <n v="81"/>
    <n v="6"/>
    <n v="75"/>
    <n v="2000"/>
    <n v="3500"/>
    <n v="21000"/>
    <n v="12000"/>
    <n v="9000"/>
    <n v="0.42857142857142855"/>
    <x v="0"/>
    <s v=""/>
    <s v=""/>
    <m/>
    <n v="78"/>
    <x v="1"/>
    <n v="150000"/>
    <n v="126000"/>
  </r>
  <r>
    <s v="P004"/>
    <x v="3"/>
    <x v="0"/>
    <x v="1"/>
    <x v="2"/>
    <n v="65"/>
    <n v="51"/>
    <n v="14"/>
    <n v="2000"/>
    <n v="3500"/>
    <n v="178500"/>
    <n v="102000"/>
    <n v="76500"/>
    <n v="0.42857142857142855"/>
    <x v="1"/>
    <s v=""/>
    <s v=""/>
    <m/>
    <n v="39.5"/>
    <x v="0"/>
    <n v="28000"/>
    <n v="9103500"/>
  </r>
  <r>
    <s v="P004"/>
    <x v="3"/>
    <x v="0"/>
    <x v="1"/>
    <x v="3"/>
    <n v="87"/>
    <n v="51"/>
    <n v="36"/>
    <n v="2000"/>
    <n v="3500"/>
    <n v="178500"/>
    <n v="102000"/>
    <n v="76500"/>
    <n v="0.42857142857142855"/>
    <x v="1"/>
    <s v=""/>
    <s v=""/>
    <m/>
    <n v="61.5"/>
    <x v="0"/>
    <n v="72000"/>
    <n v="9103500"/>
  </r>
  <r>
    <s v="P004"/>
    <x v="3"/>
    <x v="0"/>
    <x v="1"/>
    <x v="4"/>
    <n v="64"/>
    <n v="0"/>
    <n v="64"/>
    <n v="2000"/>
    <n v="3500"/>
    <n v="0"/>
    <n v="0"/>
    <n v="0"/>
    <n v="0"/>
    <x v="0"/>
    <s v="Dead Stock"/>
    <s v="Low Margin"/>
    <m/>
    <n v="64"/>
    <x v="1"/>
    <n v="128000"/>
    <n v="0"/>
  </r>
  <r>
    <s v="P004"/>
    <x v="3"/>
    <x v="0"/>
    <x v="1"/>
    <x v="5"/>
    <n v="36"/>
    <n v="10"/>
    <n v="26"/>
    <n v="2000"/>
    <n v="3500"/>
    <n v="35000"/>
    <n v="20000"/>
    <n v="15000"/>
    <n v="0.42857142857142855"/>
    <x v="0"/>
    <s v=""/>
    <s v=""/>
    <m/>
    <n v="31"/>
    <x v="0"/>
    <n v="52000"/>
    <n v="350000"/>
  </r>
  <r>
    <s v="P004"/>
    <x v="3"/>
    <x v="0"/>
    <x v="2"/>
    <x v="0"/>
    <n v="83"/>
    <n v="39"/>
    <n v="44"/>
    <n v="2000"/>
    <n v="3500"/>
    <n v="136500"/>
    <n v="78000"/>
    <n v="58500"/>
    <n v="0.42857142857142855"/>
    <x v="1"/>
    <s v=""/>
    <s v=""/>
    <m/>
    <n v="63.5"/>
    <x v="0"/>
    <n v="88000"/>
    <n v="5323500"/>
  </r>
  <r>
    <s v="P004"/>
    <x v="3"/>
    <x v="0"/>
    <x v="2"/>
    <x v="1"/>
    <n v="66"/>
    <n v="12"/>
    <n v="54"/>
    <n v="2000"/>
    <n v="3500"/>
    <n v="42000"/>
    <n v="24000"/>
    <n v="18000"/>
    <n v="0.42857142857142855"/>
    <x v="0"/>
    <s v=""/>
    <s v=""/>
    <m/>
    <n v="60"/>
    <x v="1"/>
    <n v="108000"/>
    <n v="504000"/>
  </r>
  <r>
    <s v="P004"/>
    <x v="3"/>
    <x v="0"/>
    <x v="2"/>
    <x v="2"/>
    <n v="49"/>
    <n v="17"/>
    <n v="32"/>
    <n v="2000"/>
    <n v="3500"/>
    <n v="59500"/>
    <n v="34000"/>
    <n v="25500"/>
    <n v="0.42857142857142855"/>
    <x v="0"/>
    <s v=""/>
    <s v=""/>
    <m/>
    <n v="40.5"/>
    <x v="0"/>
    <n v="64000"/>
    <n v="1011500"/>
  </r>
  <r>
    <s v="P004"/>
    <x v="3"/>
    <x v="0"/>
    <x v="2"/>
    <x v="3"/>
    <n v="23"/>
    <n v="6"/>
    <n v="17"/>
    <n v="2000"/>
    <n v="3500"/>
    <n v="21000"/>
    <n v="12000"/>
    <n v="9000"/>
    <n v="0.42857142857142855"/>
    <x v="0"/>
    <s v=""/>
    <s v=""/>
    <m/>
    <n v="20"/>
    <x v="0"/>
    <n v="34000"/>
    <n v="126000"/>
  </r>
  <r>
    <s v="P004"/>
    <x v="3"/>
    <x v="0"/>
    <x v="2"/>
    <x v="4"/>
    <n v="60"/>
    <n v="21"/>
    <n v="39"/>
    <n v="2000"/>
    <n v="3500"/>
    <n v="73500"/>
    <n v="42000"/>
    <n v="31500"/>
    <n v="0.42857142857142855"/>
    <x v="1"/>
    <s v=""/>
    <s v=""/>
    <m/>
    <n v="49.5"/>
    <x v="0"/>
    <n v="78000"/>
    <n v="1543500"/>
  </r>
  <r>
    <s v="P004"/>
    <x v="3"/>
    <x v="0"/>
    <x v="2"/>
    <x v="5"/>
    <n v="95"/>
    <n v="27"/>
    <n v="68"/>
    <n v="2000"/>
    <n v="3500"/>
    <n v="94500"/>
    <n v="54000"/>
    <n v="40500"/>
    <n v="0.42857142857142855"/>
    <x v="1"/>
    <s v=""/>
    <s v=""/>
    <m/>
    <n v="81.5"/>
    <x v="1"/>
    <n v="136000"/>
    <n v="2551500"/>
  </r>
  <r>
    <s v="P004"/>
    <x v="3"/>
    <x v="0"/>
    <x v="3"/>
    <x v="0"/>
    <n v="50"/>
    <n v="28"/>
    <n v="22"/>
    <n v="2000"/>
    <n v="3500"/>
    <n v="98000"/>
    <n v="56000"/>
    <n v="42000"/>
    <n v="0.42857142857142855"/>
    <x v="1"/>
    <s v=""/>
    <s v=""/>
    <m/>
    <n v="36"/>
    <x v="0"/>
    <n v="44000"/>
    <n v="2744000"/>
  </r>
  <r>
    <s v="P004"/>
    <x v="3"/>
    <x v="0"/>
    <x v="3"/>
    <x v="1"/>
    <n v="20"/>
    <n v="12"/>
    <n v="8"/>
    <n v="2000"/>
    <n v="3500"/>
    <n v="42000"/>
    <n v="24000"/>
    <n v="18000"/>
    <n v="0.42857142857142855"/>
    <x v="0"/>
    <s v=""/>
    <s v=""/>
    <m/>
    <n v="14"/>
    <x v="0"/>
    <n v="16000"/>
    <n v="504000"/>
  </r>
  <r>
    <s v="P004"/>
    <x v="3"/>
    <x v="0"/>
    <x v="3"/>
    <x v="2"/>
    <n v="77"/>
    <n v="67"/>
    <n v="10"/>
    <n v="2000"/>
    <n v="3500"/>
    <n v="234500"/>
    <n v="134000"/>
    <n v="100500"/>
    <n v="0.42857142857142855"/>
    <x v="1"/>
    <s v=""/>
    <s v=""/>
    <m/>
    <n v="43.5"/>
    <x v="0"/>
    <n v="20000"/>
    <n v="15711500"/>
  </r>
  <r>
    <s v="P004"/>
    <x v="3"/>
    <x v="0"/>
    <x v="3"/>
    <x v="3"/>
    <n v="57"/>
    <n v="20"/>
    <n v="37"/>
    <n v="2000"/>
    <n v="3500"/>
    <n v="70000"/>
    <n v="40000"/>
    <n v="30000"/>
    <n v="0.42857142857142855"/>
    <x v="1"/>
    <s v=""/>
    <s v=""/>
    <m/>
    <n v="47"/>
    <x v="0"/>
    <n v="74000"/>
    <n v="1400000"/>
  </r>
  <r>
    <s v="P004"/>
    <x v="3"/>
    <x v="0"/>
    <x v="3"/>
    <x v="4"/>
    <n v="66"/>
    <n v="22"/>
    <n v="44"/>
    <n v="2000"/>
    <n v="3500"/>
    <n v="77000"/>
    <n v="44000"/>
    <n v="33000"/>
    <n v="0.42857142857142855"/>
    <x v="1"/>
    <s v=""/>
    <s v=""/>
    <m/>
    <n v="55"/>
    <x v="0"/>
    <n v="88000"/>
    <n v="1694000"/>
  </r>
  <r>
    <s v="P004"/>
    <x v="3"/>
    <x v="0"/>
    <x v="3"/>
    <x v="5"/>
    <n v="20"/>
    <n v="14"/>
    <n v="6"/>
    <n v="2000"/>
    <n v="3500"/>
    <n v="49000"/>
    <n v="28000"/>
    <n v="21000"/>
    <n v="0.42857142857142855"/>
    <x v="0"/>
    <s v=""/>
    <s v=""/>
    <m/>
    <n v="13"/>
    <x v="0"/>
    <n v="12000"/>
    <n v="686000"/>
  </r>
  <r>
    <s v="P005"/>
    <x v="4"/>
    <x v="1"/>
    <x v="0"/>
    <x v="0"/>
    <n v="25"/>
    <n v="24"/>
    <n v="1"/>
    <n v="15000"/>
    <n v="22000"/>
    <n v="528000"/>
    <n v="360000"/>
    <n v="168000"/>
    <n v="0.31818181818181818"/>
    <x v="1"/>
    <s v=""/>
    <s v=""/>
    <m/>
    <n v="13"/>
    <x v="0"/>
    <n v="15000"/>
    <n v="12672000"/>
  </r>
  <r>
    <s v="P005"/>
    <x v="4"/>
    <x v="1"/>
    <x v="0"/>
    <x v="1"/>
    <n v="15"/>
    <n v="7"/>
    <n v="8"/>
    <n v="15000"/>
    <n v="22000"/>
    <n v="154000"/>
    <n v="105000"/>
    <n v="49000"/>
    <n v="0.31818181818181818"/>
    <x v="0"/>
    <s v=""/>
    <s v=""/>
    <m/>
    <n v="11.5"/>
    <x v="0"/>
    <n v="120000"/>
    <n v="1078000"/>
  </r>
  <r>
    <s v="P005"/>
    <x v="4"/>
    <x v="1"/>
    <x v="0"/>
    <x v="2"/>
    <n v="55"/>
    <n v="45"/>
    <n v="10"/>
    <n v="15000"/>
    <n v="22000"/>
    <n v="990000"/>
    <n v="675000"/>
    <n v="315000"/>
    <n v="0.31818181818181818"/>
    <x v="1"/>
    <s v=""/>
    <s v=""/>
    <m/>
    <n v="32.5"/>
    <x v="0"/>
    <n v="150000"/>
    <n v="44550000"/>
  </r>
  <r>
    <s v="P005"/>
    <x v="4"/>
    <x v="1"/>
    <x v="0"/>
    <x v="3"/>
    <n v="39"/>
    <n v="15"/>
    <n v="24"/>
    <n v="15000"/>
    <n v="22000"/>
    <n v="330000"/>
    <n v="225000"/>
    <n v="105000"/>
    <n v="0.31818181818181818"/>
    <x v="0"/>
    <s v=""/>
    <s v=""/>
    <m/>
    <n v="31.5"/>
    <x v="0"/>
    <n v="360000"/>
    <n v="4950000"/>
  </r>
  <r>
    <s v="P005"/>
    <x v="4"/>
    <x v="1"/>
    <x v="0"/>
    <x v="4"/>
    <n v="42"/>
    <n v="31"/>
    <n v="11"/>
    <n v="15000"/>
    <n v="22000"/>
    <n v="682000"/>
    <n v="465000"/>
    <n v="217000"/>
    <n v="0.31818181818181818"/>
    <x v="1"/>
    <s v=""/>
    <s v=""/>
    <m/>
    <n v="26.5"/>
    <x v="0"/>
    <n v="165000"/>
    <n v="21142000"/>
  </r>
  <r>
    <s v="P005"/>
    <x v="4"/>
    <x v="1"/>
    <x v="0"/>
    <x v="5"/>
    <n v="11"/>
    <n v="8"/>
    <n v="3"/>
    <n v="15000"/>
    <n v="22000"/>
    <n v="176000"/>
    <n v="120000"/>
    <n v="56000"/>
    <n v="0.31818181818181818"/>
    <x v="0"/>
    <s v=""/>
    <s v=""/>
    <m/>
    <n v="7"/>
    <x v="0"/>
    <n v="45000"/>
    <n v="1408000"/>
  </r>
  <r>
    <s v="P005"/>
    <x v="4"/>
    <x v="1"/>
    <x v="1"/>
    <x v="0"/>
    <n v="26"/>
    <n v="23"/>
    <n v="3"/>
    <n v="15000"/>
    <n v="22000"/>
    <n v="506000"/>
    <n v="345000"/>
    <n v="161000"/>
    <n v="0.31818181818181818"/>
    <x v="1"/>
    <s v=""/>
    <s v=""/>
    <m/>
    <n v="14.5"/>
    <x v="0"/>
    <n v="45000"/>
    <n v="11638000"/>
  </r>
  <r>
    <s v="P005"/>
    <x v="4"/>
    <x v="1"/>
    <x v="1"/>
    <x v="1"/>
    <n v="41"/>
    <n v="6"/>
    <n v="35"/>
    <n v="15000"/>
    <n v="22000"/>
    <n v="132000"/>
    <n v="90000"/>
    <n v="42000"/>
    <n v="0.31818181818181818"/>
    <x v="0"/>
    <s v=""/>
    <s v=""/>
    <m/>
    <n v="38"/>
    <x v="0"/>
    <n v="525000"/>
    <n v="792000"/>
  </r>
  <r>
    <s v="P005"/>
    <x v="4"/>
    <x v="1"/>
    <x v="1"/>
    <x v="2"/>
    <n v="39"/>
    <n v="14"/>
    <n v="25"/>
    <n v="15000"/>
    <n v="22000"/>
    <n v="308000"/>
    <n v="210000"/>
    <n v="98000"/>
    <n v="0.31818181818181818"/>
    <x v="0"/>
    <s v=""/>
    <s v=""/>
    <m/>
    <n v="32"/>
    <x v="0"/>
    <n v="375000"/>
    <n v="4312000"/>
  </r>
  <r>
    <s v="P005"/>
    <x v="4"/>
    <x v="1"/>
    <x v="1"/>
    <x v="3"/>
    <n v="35"/>
    <n v="27"/>
    <n v="8"/>
    <n v="15000"/>
    <n v="22000"/>
    <n v="594000"/>
    <n v="405000"/>
    <n v="189000"/>
    <n v="0.31818181818181818"/>
    <x v="1"/>
    <s v=""/>
    <s v=""/>
    <m/>
    <n v="21.5"/>
    <x v="0"/>
    <n v="120000"/>
    <n v="16038000"/>
  </r>
  <r>
    <s v="P005"/>
    <x v="4"/>
    <x v="1"/>
    <x v="1"/>
    <x v="4"/>
    <n v="22"/>
    <n v="19"/>
    <n v="3"/>
    <n v="15000"/>
    <n v="22000"/>
    <n v="418000"/>
    <n v="285000"/>
    <n v="133000"/>
    <n v="0.31818181818181818"/>
    <x v="0"/>
    <s v=""/>
    <s v=""/>
    <m/>
    <n v="12.5"/>
    <x v="0"/>
    <n v="45000"/>
    <n v="7942000"/>
  </r>
  <r>
    <s v="P005"/>
    <x v="4"/>
    <x v="1"/>
    <x v="1"/>
    <x v="5"/>
    <n v="25"/>
    <n v="21"/>
    <n v="4"/>
    <n v="15000"/>
    <n v="22000"/>
    <n v="462000"/>
    <n v="315000"/>
    <n v="147000"/>
    <n v="0.31818181818181818"/>
    <x v="1"/>
    <s v=""/>
    <s v=""/>
    <m/>
    <n v="14.5"/>
    <x v="0"/>
    <n v="60000"/>
    <n v="9702000"/>
  </r>
  <r>
    <s v="P005"/>
    <x v="4"/>
    <x v="1"/>
    <x v="2"/>
    <x v="0"/>
    <n v="37"/>
    <n v="31"/>
    <n v="6"/>
    <n v="15000"/>
    <n v="22000"/>
    <n v="682000"/>
    <n v="465000"/>
    <n v="217000"/>
    <n v="0.31818181818181818"/>
    <x v="1"/>
    <s v=""/>
    <s v=""/>
    <m/>
    <n v="21.5"/>
    <x v="0"/>
    <n v="90000"/>
    <n v="21142000"/>
  </r>
  <r>
    <s v="P005"/>
    <x v="4"/>
    <x v="1"/>
    <x v="2"/>
    <x v="1"/>
    <n v="15"/>
    <n v="5"/>
    <n v="10"/>
    <n v="15000"/>
    <n v="22000"/>
    <n v="110000"/>
    <n v="75000"/>
    <n v="35000"/>
    <n v="0.31818181818181818"/>
    <x v="0"/>
    <s v=""/>
    <s v=""/>
    <m/>
    <n v="12.5"/>
    <x v="0"/>
    <n v="150000"/>
    <n v="550000"/>
  </r>
  <r>
    <s v="P005"/>
    <x v="4"/>
    <x v="1"/>
    <x v="2"/>
    <x v="2"/>
    <n v="38"/>
    <n v="2"/>
    <n v="36"/>
    <n v="15000"/>
    <n v="22000"/>
    <n v="44000"/>
    <n v="30000"/>
    <n v="14000"/>
    <n v="0.31818181818181818"/>
    <x v="0"/>
    <s v=""/>
    <s v=""/>
    <m/>
    <n v="37"/>
    <x v="0"/>
    <n v="540000"/>
    <n v="88000"/>
  </r>
  <r>
    <s v="P005"/>
    <x v="4"/>
    <x v="1"/>
    <x v="2"/>
    <x v="3"/>
    <n v="39"/>
    <n v="5"/>
    <n v="34"/>
    <n v="15000"/>
    <n v="22000"/>
    <n v="110000"/>
    <n v="75000"/>
    <n v="35000"/>
    <n v="0.31818181818181818"/>
    <x v="0"/>
    <s v=""/>
    <s v=""/>
    <m/>
    <n v="36.5"/>
    <x v="0"/>
    <n v="510000"/>
    <n v="550000"/>
  </r>
  <r>
    <s v="P005"/>
    <x v="4"/>
    <x v="1"/>
    <x v="2"/>
    <x v="4"/>
    <n v="60"/>
    <n v="0"/>
    <n v="60"/>
    <n v="15000"/>
    <n v="22000"/>
    <n v="0"/>
    <n v="0"/>
    <n v="0"/>
    <n v="0"/>
    <x v="0"/>
    <s v="Dead Stock"/>
    <s v="Low Margin"/>
    <m/>
    <n v="60"/>
    <x v="1"/>
    <n v="900000"/>
    <n v="0"/>
  </r>
  <r>
    <s v="P005"/>
    <x v="4"/>
    <x v="1"/>
    <x v="2"/>
    <x v="5"/>
    <n v="36"/>
    <n v="1"/>
    <n v="35"/>
    <n v="15000"/>
    <n v="22000"/>
    <n v="22000"/>
    <n v="15000"/>
    <n v="7000"/>
    <n v="0.31818181818181818"/>
    <x v="0"/>
    <s v=""/>
    <s v=""/>
    <m/>
    <n v="35.5"/>
    <x v="0"/>
    <n v="525000"/>
    <n v="22000"/>
  </r>
  <r>
    <s v="P005"/>
    <x v="4"/>
    <x v="1"/>
    <x v="3"/>
    <x v="0"/>
    <n v="16"/>
    <n v="11"/>
    <n v="5"/>
    <n v="15000"/>
    <n v="22000"/>
    <n v="242000"/>
    <n v="165000"/>
    <n v="77000"/>
    <n v="0.31818181818181818"/>
    <x v="0"/>
    <s v=""/>
    <s v=""/>
    <m/>
    <n v="10.5"/>
    <x v="0"/>
    <n v="75000"/>
    <n v="2662000"/>
  </r>
  <r>
    <s v="P005"/>
    <x v="4"/>
    <x v="1"/>
    <x v="3"/>
    <x v="1"/>
    <n v="24"/>
    <n v="1"/>
    <n v="23"/>
    <n v="15000"/>
    <n v="22000"/>
    <n v="22000"/>
    <n v="15000"/>
    <n v="7000"/>
    <n v="0.31818181818181818"/>
    <x v="0"/>
    <s v=""/>
    <s v=""/>
    <m/>
    <n v="23.5"/>
    <x v="0"/>
    <n v="345000"/>
    <n v="22000"/>
  </r>
  <r>
    <s v="P005"/>
    <x v="4"/>
    <x v="1"/>
    <x v="3"/>
    <x v="2"/>
    <n v="29"/>
    <n v="11"/>
    <n v="18"/>
    <n v="15000"/>
    <n v="22000"/>
    <n v="242000"/>
    <n v="165000"/>
    <n v="77000"/>
    <n v="0.31818181818181818"/>
    <x v="0"/>
    <s v=""/>
    <s v=""/>
    <m/>
    <n v="23.5"/>
    <x v="0"/>
    <n v="270000"/>
    <n v="2662000"/>
  </r>
  <r>
    <s v="P005"/>
    <x v="4"/>
    <x v="1"/>
    <x v="3"/>
    <x v="3"/>
    <n v="32"/>
    <n v="8"/>
    <n v="24"/>
    <n v="15000"/>
    <n v="22000"/>
    <n v="176000"/>
    <n v="120000"/>
    <n v="56000"/>
    <n v="0.31818181818181818"/>
    <x v="0"/>
    <s v=""/>
    <s v=""/>
    <m/>
    <n v="28"/>
    <x v="0"/>
    <n v="360000"/>
    <n v="1408000"/>
  </r>
  <r>
    <s v="P005"/>
    <x v="4"/>
    <x v="1"/>
    <x v="3"/>
    <x v="4"/>
    <n v="17"/>
    <n v="8"/>
    <n v="9"/>
    <n v="15000"/>
    <n v="22000"/>
    <n v="176000"/>
    <n v="120000"/>
    <n v="56000"/>
    <n v="0.31818181818181818"/>
    <x v="0"/>
    <s v=""/>
    <s v=""/>
    <m/>
    <n v="13"/>
    <x v="0"/>
    <n v="135000"/>
    <n v="1408000"/>
  </r>
  <r>
    <s v="P005"/>
    <x v="4"/>
    <x v="1"/>
    <x v="3"/>
    <x v="5"/>
    <n v="25"/>
    <n v="18"/>
    <n v="7"/>
    <n v="15000"/>
    <n v="22000"/>
    <n v="396000"/>
    <n v="270000"/>
    <n v="126000"/>
    <n v="0.31818181818181818"/>
    <x v="0"/>
    <s v=""/>
    <s v=""/>
    <m/>
    <n v="16"/>
    <x v="0"/>
    <n v="105000"/>
    <n v="7128000"/>
  </r>
  <r>
    <s v="P006"/>
    <x v="5"/>
    <x v="1"/>
    <x v="0"/>
    <x v="0"/>
    <n v="10"/>
    <n v="0"/>
    <n v="10"/>
    <n v="12000"/>
    <n v="18000"/>
    <n v="0"/>
    <n v="0"/>
    <n v="0"/>
    <n v="0"/>
    <x v="0"/>
    <s v="Dead Stock"/>
    <s v="Low Margin"/>
    <m/>
    <n v="10"/>
    <x v="0"/>
    <n v="120000"/>
    <n v="0"/>
  </r>
  <r>
    <s v="P006"/>
    <x v="5"/>
    <x v="1"/>
    <x v="0"/>
    <x v="1"/>
    <n v="42"/>
    <n v="31"/>
    <n v="11"/>
    <n v="12000"/>
    <n v="18000"/>
    <n v="558000"/>
    <n v="372000"/>
    <n v="186000"/>
    <n v="0.33333333333333331"/>
    <x v="1"/>
    <s v=""/>
    <s v=""/>
    <m/>
    <n v="26.5"/>
    <x v="0"/>
    <n v="132000"/>
    <n v="17298000"/>
  </r>
  <r>
    <s v="P006"/>
    <x v="5"/>
    <x v="1"/>
    <x v="0"/>
    <x v="2"/>
    <n v="48"/>
    <n v="12"/>
    <n v="36"/>
    <n v="12000"/>
    <n v="18000"/>
    <n v="216000"/>
    <n v="144000"/>
    <n v="72000"/>
    <n v="0.33333333333333331"/>
    <x v="0"/>
    <s v=""/>
    <s v=""/>
    <m/>
    <n v="42"/>
    <x v="0"/>
    <n v="432000"/>
    <n v="2592000"/>
  </r>
  <r>
    <s v="P006"/>
    <x v="5"/>
    <x v="1"/>
    <x v="0"/>
    <x v="3"/>
    <n v="42"/>
    <n v="25"/>
    <n v="17"/>
    <n v="12000"/>
    <n v="18000"/>
    <n v="450000"/>
    <n v="300000"/>
    <n v="150000"/>
    <n v="0.33333333333333331"/>
    <x v="1"/>
    <s v=""/>
    <s v=""/>
    <m/>
    <n v="29.5"/>
    <x v="0"/>
    <n v="204000"/>
    <n v="11250000"/>
  </r>
  <r>
    <s v="P006"/>
    <x v="5"/>
    <x v="1"/>
    <x v="0"/>
    <x v="4"/>
    <n v="15"/>
    <n v="7"/>
    <n v="8"/>
    <n v="12000"/>
    <n v="18000"/>
    <n v="126000"/>
    <n v="84000"/>
    <n v="42000"/>
    <n v="0.33333333333333331"/>
    <x v="0"/>
    <s v=""/>
    <s v=""/>
    <m/>
    <n v="11.5"/>
    <x v="0"/>
    <n v="96000"/>
    <n v="882000"/>
  </r>
  <r>
    <s v="P006"/>
    <x v="5"/>
    <x v="1"/>
    <x v="0"/>
    <x v="5"/>
    <n v="34"/>
    <n v="3"/>
    <n v="31"/>
    <n v="12000"/>
    <n v="18000"/>
    <n v="54000"/>
    <n v="36000"/>
    <n v="18000"/>
    <n v="0.33333333333333331"/>
    <x v="0"/>
    <s v=""/>
    <s v=""/>
    <m/>
    <n v="32.5"/>
    <x v="0"/>
    <n v="372000"/>
    <n v="162000"/>
  </r>
  <r>
    <s v="P006"/>
    <x v="5"/>
    <x v="1"/>
    <x v="1"/>
    <x v="0"/>
    <n v="23"/>
    <n v="9"/>
    <n v="14"/>
    <n v="12000"/>
    <n v="18000"/>
    <n v="162000"/>
    <n v="108000"/>
    <n v="54000"/>
    <n v="0.33333333333333331"/>
    <x v="0"/>
    <s v=""/>
    <s v=""/>
    <m/>
    <n v="18.5"/>
    <x v="0"/>
    <n v="168000"/>
    <n v="1458000"/>
  </r>
  <r>
    <s v="P006"/>
    <x v="5"/>
    <x v="1"/>
    <x v="1"/>
    <x v="1"/>
    <n v="44"/>
    <n v="5"/>
    <n v="39"/>
    <n v="12000"/>
    <n v="18000"/>
    <n v="90000"/>
    <n v="60000"/>
    <n v="30000"/>
    <n v="0.33333333333333331"/>
    <x v="0"/>
    <s v=""/>
    <s v=""/>
    <m/>
    <n v="41.5"/>
    <x v="0"/>
    <n v="468000"/>
    <n v="450000"/>
  </r>
  <r>
    <s v="P006"/>
    <x v="5"/>
    <x v="1"/>
    <x v="1"/>
    <x v="2"/>
    <n v="50"/>
    <n v="36"/>
    <n v="14"/>
    <n v="12000"/>
    <n v="18000"/>
    <n v="648000"/>
    <n v="432000"/>
    <n v="216000"/>
    <n v="0.33333333333333331"/>
    <x v="1"/>
    <s v=""/>
    <s v=""/>
    <m/>
    <n v="32"/>
    <x v="0"/>
    <n v="168000"/>
    <n v="23328000"/>
  </r>
  <r>
    <s v="P006"/>
    <x v="5"/>
    <x v="1"/>
    <x v="1"/>
    <x v="3"/>
    <n v="42"/>
    <n v="30"/>
    <n v="12"/>
    <n v="12000"/>
    <n v="18000"/>
    <n v="540000"/>
    <n v="360000"/>
    <n v="180000"/>
    <n v="0.33333333333333331"/>
    <x v="1"/>
    <s v=""/>
    <s v=""/>
    <m/>
    <n v="27"/>
    <x v="0"/>
    <n v="144000"/>
    <n v="16200000"/>
  </r>
  <r>
    <s v="P006"/>
    <x v="5"/>
    <x v="1"/>
    <x v="1"/>
    <x v="4"/>
    <n v="21"/>
    <n v="13"/>
    <n v="8"/>
    <n v="12000"/>
    <n v="18000"/>
    <n v="234000"/>
    <n v="156000"/>
    <n v="78000"/>
    <n v="0.33333333333333331"/>
    <x v="0"/>
    <s v=""/>
    <s v=""/>
    <m/>
    <n v="14.5"/>
    <x v="0"/>
    <n v="96000"/>
    <n v="3042000"/>
  </r>
  <r>
    <s v="P006"/>
    <x v="5"/>
    <x v="1"/>
    <x v="1"/>
    <x v="5"/>
    <n v="43"/>
    <n v="14"/>
    <n v="29"/>
    <n v="12000"/>
    <n v="18000"/>
    <n v="252000"/>
    <n v="168000"/>
    <n v="84000"/>
    <n v="0.33333333333333331"/>
    <x v="0"/>
    <s v=""/>
    <s v=""/>
    <m/>
    <n v="36"/>
    <x v="0"/>
    <n v="348000"/>
    <n v="3528000"/>
  </r>
  <r>
    <s v="P006"/>
    <x v="5"/>
    <x v="1"/>
    <x v="2"/>
    <x v="0"/>
    <n v="15"/>
    <n v="5"/>
    <n v="10"/>
    <n v="12000"/>
    <n v="18000"/>
    <n v="90000"/>
    <n v="60000"/>
    <n v="30000"/>
    <n v="0.33333333333333331"/>
    <x v="0"/>
    <s v=""/>
    <s v=""/>
    <m/>
    <n v="12.5"/>
    <x v="0"/>
    <n v="120000"/>
    <n v="450000"/>
  </r>
  <r>
    <s v="P006"/>
    <x v="5"/>
    <x v="1"/>
    <x v="2"/>
    <x v="1"/>
    <n v="29"/>
    <n v="14"/>
    <n v="15"/>
    <n v="12000"/>
    <n v="18000"/>
    <n v="252000"/>
    <n v="168000"/>
    <n v="84000"/>
    <n v="0.33333333333333331"/>
    <x v="0"/>
    <s v=""/>
    <s v=""/>
    <m/>
    <n v="22"/>
    <x v="0"/>
    <n v="180000"/>
    <n v="3528000"/>
  </r>
  <r>
    <s v="P006"/>
    <x v="5"/>
    <x v="1"/>
    <x v="2"/>
    <x v="2"/>
    <n v="20"/>
    <n v="9"/>
    <n v="11"/>
    <n v="12000"/>
    <n v="18000"/>
    <n v="162000"/>
    <n v="108000"/>
    <n v="54000"/>
    <n v="0.33333333333333331"/>
    <x v="0"/>
    <s v=""/>
    <s v=""/>
    <m/>
    <n v="15.5"/>
    <x v="0"/>
    <n v="132000"/>
    <n v="1458000"/>
  </r>
  <r>
    <s v="P006"/>
    <x v="5"/>
    <x v="1"/>
    <x v="2"/>
    <x v="3"/>
    <n v="52"/>
    <n v="13"/>
    <n v="39"/>
    <n v="12000"/>
    <n v="18000"/>
    <n v="234000"/>
    <n v="156000"/>
    <n v="78000"/>
    <n v="0.33333333333333331"/>
    <x v="0"/>
    <s v=""/>
    <s v=""/>
    <m/>
    <n v="45.5"/>
    <x v="0"/>
    <n v="468000"/>
    <n v="3042000"/>
  </r>
  <r>
    <s v="P006"/>
    <x v="5"/>
    <x v="1"/>
    <x v="2"/>
    <x v="4"/>
    <n v="14"/>
    <n v="9"/>
    <n v="5"/>
    <n v="12000"/>
    <n v="18000"/>
    <n v="162000"/>
    <n v="108000"/>
    <n v="54000"/>
    <n v="0.33333333333333331"/>
    <x v="0"/>
    <s v=""/>
    <s v=""/>
    <m/>
    <n v="9.5"/>
    <x v="0"/>
    <n v="60000"/>
    <n v="1458000"/>
  </r>
  <r>
    <s v="P006"/>
    <x v="5"/>
    <x v="1"/>
    <x v="2"/>
    <x v="5"/>
    <n v="22"/>
    <n v="21"/>
    <n v="1"/>
    <n v="12000"/>
    <n v="18000"/>
    <n v="378000"/>
    <n v="252000"/>
    <n v="126000"/>
    <n v="0.33333333333333331"/>
    <x v="1"/>
    <s v=""/>
    <s v=""/>
    <m/>
    <n v="11.5"/>
    <x v="0"/>
    <n v="12000"/>
    <n v="7938000"/>
  </r>
  <r>
    <s v="P006"/>
    <x v="5"/>
    <x v="1"/>
    <x v="3"/>
    <x v="0"/>
    <n v="21"/>
    <n v="21"/>
    <n v="0"/>
    <n v="12000"/>
    <n v="18000"/>
    <n v="378000"/>
    <n v="252000"/>
    <n v="126000"/>
    <n v="0.33333333333333331"/>
    <x v="1"/>
    <s v=""/>
    <s v=""/>
    <m/>
    <n v="10.5"/>
    <x v="0"/>
    <n v="0"/>
    <n v="7938000"/>
  </r>
  <r>
    <s v="P006"/>
    <x v="5"/>
    <x v="1"/>
    <x v="3"/>
    <x v="1"/>
    <n v="50"/>
    <n v="15"/>
    <n v="35"/>
    <n v="12000"/>
    <n v="18000"/>
    <n v="270000"/>
    <n v="180000"/>
    <n v="90000"/>
    <n v="0.33333333333333331"/>
    <x v="0"/>
    <s v=""/>
    <s v=""/>
    <m/>
    <n v="42.5"/>
    <x v="0"/>
    <n v="420000"/>
    <n v="4050000"/>
  </r>
  <r>
    <s v="P006"/>
    <x v="5"/>
    <x v="1"/>
    <x v="3"/>
    <x v="2"/>
    <n v="13"/>
    <n v="12"/>
    <n v="1"/>
    <n v="12000"/>
    <n v="18000"/>
    <n v="216000"/>
    <n v="144000"/>
    <n v="72000"/>
    <n v="0.33333333333333331"/>
    <x v="0"/>
    <s v=""/>
    <s v=""/>
    <m/>
    <n v="7"/>
    <x v="0"/>
    <n v="12000"/>
    <n v="2592000"/>
  </r>
  <r>
    <s v="P006"/>
    <x v="5"/>
    <x v="1"/>
    <x v="3"/>
    <x v="3"/>
    <n v="35"/>
    <n v="12"/>
    <n v="23"/>
    <n v="12000"/>
    <n v="18000"/>
    <n v="216000"/>
    <n v="144000"/>
    <n v="72000"/>
    <n v="0.33333333333333331"/>
    <x v="0"/>
    <s v=""/>
    <s v=""/>
    <m/>
    <n v="29"/>
    <x v="0"/>
    <n v="276000"/>
    <n v="2592000"/>
  </r>
  <r>
    <s v="P006"/>
    <x v="5"/>
    <x v="1"/>
    <x v="3"/>
    <x v="4"/>
    <n v="18"/>
    <n v="2"/>
    <n v="16"/>
    <n v="12000"/>
    <n v="18000"/>
    <n v="36000"/>
    <n v="24000"/>
    <n v="12000"/>
    <n v="0.33333333333333331"/>
    <x v="0"/>
    <s v=""/>
    <s v=""/>
    <m/>
    <n v="17"/>
    <x v="0"/>
    <n v="192000"/>
    <n v="72000"/>
  </r>
  <r>
    <s v="P006"/>
    <x v="5"/>
    <x v="1"/>
    <x v="3"/>
    <x v="5"/>
    <n v="20"/>
    <n v="12"/>
    <n v="8"/>
    <n v="12000"/>
    <n v="18000"/>
    <n v="216000"/>
    <n v="144000"/>
    <n v="72000"/>
    <n v="0.33333333333333331"/>
    <x v="0"/>
    <s v=""/>
    <s v=""/>
    <m/>
    <n v="14"/>
    <x v="0"/>
    <n v="96000"/>
    <n v="2592000"/>
  </r>
  <r>
    <s v="P007"/>
    <x v="6"/>
    <x v="1"/>
    <x v="0"/>
    <x v="0"/>
    <n v="14"/>
    <n v="2"/>
    <n v="12"/>
    <n v="2000"/>
    <n v="3500"/>
    <n v="7000"/>
    <n v="4000"/>
    <n v="3000"/>
    <n v="0.42857142857142855"/>
    <x v="0"/>
    <s v=""/>
    <s v=""/>
    <m/>
    <n v="13"/>
    <x v="0"/>
    <n v="24000"/>
    <n v="14000"/>
  </r>
  <r>
    <s v="P007"/>
    <x v="6"/>
    <x v="1"/>
    <x v="0"/>
    <x v="1"/>
    <n v="19"/>
    <n v="9"/>
    <n v="10"/>
    <n v="2000"/>
    <n v="3500"/>
    <n v="31500"/>
    <n v="18000"/>
    <n v="13500"/>
    <n v="0.42857142857142855"/>
    <x v="0"/>
    <s v=""/>
    <s v=""/>
    <m/>
    <n v="14.5"/>
    <x v="0"/>
    <n v="20000"/>
    <n v="283500"/>
  </r>
  <r>
    <s v="P007"/>
    <x v="6"/>
    <x v="1"/>
    <x v="0"/>
    <x v="2"/>
    <n v="43"/>
    <n v="26"/>
    <n v="17"/>
    <n v="2000"/>
    <n v="3500"/>
    <n v="91000"/>
    <n v="52000"/>
    <n v="39000"/>
    <n v="0.42857142857142855"/>
    <x v="1"/>
    <s v=""/>
    <s v=""/>
    <m/>
    <n v="30"/>
    <x v="0"/>
    <n v="34000"/>
    <n v="2366000"/>
  </r>
  <r>
    <s v="P007"/>
    <x v="6"/>
    <x v="1"/>
    <x v="0"/>
    <x v="3"/>
    <n v="10"/>
    <n v="7"/>
    <n v="3"/>
    <n v="2000"/>
    <n v="3500"/>
    <n v="24500"/>
    <n v="14000"/>
    <n v="10500"/>
    <n v="0.42857142857142855"/>
    <x v="0"/>
    <s v=""/>
    <s v=""/>
    <m/>
    <n v="6.5"/>
    <x v="0"/>
    <n v="6000"/>
    <n v="171500"/>
  </r>
  <r>
    <s v="P007"/>
    <x v="6"/>
    <x v="1"/>
    <x v="0"/>
    <x v="4"/>
    <n v="37"/>
    <n v="9"/>
    <n v="28"/>
    <n v="2000"/>
    <n v="3500"/>
    <n v="31500"/>
    <n v="18000"/>
    <n v="13500"/>
    <n v="0.42857142857142855"/>
    <x v="0"/>
    <s v=""/>
    <s v=""/>
    <m/>
    <n v="32.5"/>
    <x v="0"/>
    <n v="56000"/>
    <n v="283500"/>
  </r>
  <r>
    <s v="P007"/>
    <x v="6"/>
    <x v="1"/>
    <x v="0"/>
    <x v="5"/>
    <n v="55"/>
    <n v="5"/>
    <n v="50"/>
    <n v="2000"/>
    <n v="3500"/>
    <n v="17500"/>
    <n v="10000"/>
    <n v="7500"/>
    <n v="0.42857142857142855"/>
    <x v="0"/>
    <s v=""/>
    <s v=""/>
    <m/>
    <n v="52.5"/>
    <x v="0"/>
    <n v="100000"/>
    <n v="87500"/>
  </r>
  <r>
    <s v="P007"/>
    <x v="6"/>
    <x v="1"/>
    <x v="1"/>
    <x v="0"/>
    <n v="16"/>
    <n v="2"/>
    <n v="14"/>
    <n v="2000"/>
    <n v="3500"/>
    <n v="7000"/>
    <n v="4000"/>
    <n v="3000"/>
    <n v="0.42857142857142855"/>
    <x v="0"/>
    <s v=""/>
    <s v=""/>
    <m/>
    <n v="15"/>
    <x v="0"/>
    <n v="28000"/>
    <n v="14000"/>
  </r>
  <r>
    <s v="P007"/>
    <x v="6"/>
    <x v="1"/>
    <x v="1"/>
    <x v="1"/>
    <n v="11"/>
    <n v="7"/>
    <n v="4"/>
    <n v="2000"/>
    <n v="3500"/>
    <n v="24500"/>
    <n v="14000"/>
    <n v="10500"/>
    <n v="0.42857142857142855"/>
    <x v="0"/>
    <s v=""/>
    <s v=""/>
    <m/>
    <n v="7.5"/>
    <x v="0"/>
    <n v="8000"/>
    <n v="171500"/>
  </r>
  <r>
    <s v="P007"/>
    <x v="6"/>
    <x v="1"/>
    <x v="1"/>
    <x v="2"/>
    <n v="45"/>
    <n v="43"/>
    <n v="2"/>
    <n v="2000"/>
    <n v="3500"/>
    <n v="150500"/>
    <n v="86000"/>
    <n v="64500"/>
    <n v="0.42857142857142855"/>
    <x v="1"/>
    <s v=""/>
    <s v=""/>
    <m/>
    <n v="23.5"/>
    <x v="0"/>
    <n v="4000"/>
    <n v="6471500"/>
  </r>
  <r>
    <s v="P007"/>
    <x v="6"/>
    <x v="1"/>
    <x v="1"/>
    <x v="3"/>
    <n v="46"/>
    <n v="20"/>
    <n v="26"/>
    <n v="2000"/>
    <n v="3500"/>
    <n v="70000"/>
    <n v="40000"/>
    <n v="30000"/>
    <n v="0.42857142857142855"/>
    <x v="1"/>
    <s v=""/>
    <s v=""/>
    <m/>
    <n v="36"/>
    <x v="0"/>
    <n v="52000"/>
    <n v="1400000"/>
  </r>
  <r>
    <s v="P007"/>
    <x v="6"/>
    <x v="1"/>
    <x v="1"/>
    <x v="4"/>
    <n v="28"/>
    <n v="20"/>
    <n v="8"/>
    <n v="2000"/>
    <n v="3500"/>
    <n v="70000"/>
    <n v="40000"/>
    <n v="30000"/>
    <n v="0.42857142857142855"/>
    <x v="1"/>
    <s v=""/>
    <s v=""/>
    <m/>
    <n v="18"/>
    <x v="0"/>
    <n v="16000"/>
    <n v="1400000"/>
  </r>
  <r>
    <s v="P007"/>
    <x v="6"/>
    <x v="1"/>
    <x v="1"/>
    <x v="5"/>
    <n v="41"/>
    <n v="18"/>
    <n v="23"/>
    <n v="2000"/>
    <n v="3500"/>
    <n v="63000"/>
    <n v="36000"/>
    <n v="27000"/>
    <n v="0.42857142857142855"/>
    <x v="0"/>
    <s v=""/>
    <s v=""/>
    <m/>
    <n v="32"/>
    <x v="0"/>
    <n v="46000"/>
    <n v="1134000"/>
  </r>
  <r>
    <s v="P007"/>
    <x v="6"/>
    <x v="1"/>
    <x v="2"/>
    <x v="0"/>
    <n v="58"/>
    <n v="15"/>
    <n v="43"/>
    <n v="2000"/>
    <n v="3500"/>
    <n v="52500"/>
    <n v="30000"/>
    <n v="22500"/>
    <n v="0.42857142857142855"/>
    <x v="0"/>
    <s v=""/>
    <s v=""/>
    <m/>
    <n v="50.5"/>
    <x v="0"/>
    <n v="86000"/>
    <n v="787500"/>
  </r>
  <r>
    <s v="P007"/>
    <x v="6"/>
    <x v="1"/>
    <x v="2"/>
    <x v="1"/>
    <n v="33"/>
    <n v="17"/>
    <n v="16"/>
    <n v="2000"/>
    <n v="3500"/>
    <n v="59500"/>
    <n v="34000"/>
    <n v="25500"/>
    <n v="0.42857142857142855"/>
    <x v="0"/>
    <s v=""/>
    <s v=""/>
    <m/>
    <n v="24.5"/>
    <x v="0"/>
    <n v="32000"/>
    <n v="1011500"/>
  </r>
  <r>
    <s v="P007"/>
    <x v="6"/>
    <x v="1"/>
    <x v="2"/>
    <x v="2"/>
    <n v="34"/>
    <n v="16"/>
    <n v="18"/>
    <n v="2000"/>
    <n v="3500"/>
    <n v="56000"/>
    <n v="32000"/>
    <n v="24000"/>
    <n v="0.42857142857142855"/>
    <x v="0"/>
    <s v=""/>
    <s v=""/>
    <m/>
    <n v="26"/>
    <x v="0"/>
    <n v="36000"/>
    <n v="896000"/>
  </r>
  <r>
    <s v="P007"/>
    <x v="6"/>
    <x v="1"/>
    <x v="2"/>
    <x v="3"/>
    <n v="21"/>
    <n v="4"/>
    <n v="17"/>
    <n v="2000"/>
    <n v="3500"/>
    <n v="14000"/>
    <n v="8000"/>
    <n v="6000"/>
    <n v="0.42857142857142855"/>
    <x v="0"/>
    <s v=""/>
    <s v=""/>
    <m/>
    <n v="19"/>
    <x v="0"/>
    <n v="34000"/>
    <n v="56000"/>
  </r>
  <r>
    <s v="P007"/>
    <x v="6"/>
    <x v="1"/>
    <x v="2"/>
    <x v="4"/>
    <n v="44"/>
    <n v="0"/>
    <n v="44"/>
    <n v="2000"/>
    <n v="3500"/>
    <n v="0"/>
    <n v="0"/>
    <n v="0"/>
    <n v="0"/>
    <x v="0"/>
    <s v="Dead Stock"/>
    <s v="Low Margin"/>
    <m/>
    <n v="44"/>
    <x v="0"/>
    <n v="88000"/>
    <n v="0"/>
  </r>
  <r>
    <s v="P007"/>
    <x v="6"/>
    <x v="1"/>
    <x v="2"/>
    <x v="5"/>
    <n v="51"/>
    <n v="32"/>
    <n v="19"/>
    <n v="2000"/>
    <n v="3500"/>
    <n v="112000"/>
    <n v="64000"/>
    <n v="48000"/>
    <n v="0.42857142857142855"/>
    <x v="1"/>
    <s v=""/>
    <s v=""/>
    <m/>
    <n v="35"/>
    <x v="0"/>
    <n v="38000"/>
    <n v="3584000"/>
  </r>
  <r>
    <s v="P007"/>
    <x v="6"/>
    <x v="1"/>
    <x v="3"/>
    <x v="0"/>
    <n v="22"/>
    <n v="20"/>
    <n v="2"/>
    <n v="2000"/>
    <n v="3500"/>
    <n v="70000"/>
    <n v="40000"/>
    <n v="30000"/>
    <n v="0.42857142857142855"/>
    <x v="1"/>
    <s v=""/>
    <s v=""/>
    <m/>
    <n v="12"/>
    <x v="0"/>
    <n v="4000"/>
    <n v="1400000"/>
  </r>
  <r>
    <s v="P007"/>
    <x v="6"/>
    <x v="1"/>
    <x v="3"/>
    <x v="1"/>
    <n v="58"/>
    <n v="41"/>
    <n v="17"/>
    <n v="2000"/>
    <n v="3500"/>
    <n v="143500"/>
    <n v="82000"/>
    <n v="61500"/>
    <n v="0.42857142857142855"/>
    <x v="1"/>
    <s v=""/>
    <s v=""/>
    <m/>
    <n v="37.5"/>
    <x v="0"/>
    <n v="34000"/>
    <n v="5883500"/>
  </r>
  <r>
    <s v="P007"/>
    <x v="6"/>
    <x v="1"/>
    <x v="3"/>
    <x v="2"/>
    <n v="28"/>
    <n v="15"/>
    <n v="13"/>
    <n v="2000"/>
    <n v="3500"/>
    <n v="52500"/>
    <n v="30000"/>
    <n v="22500"/>
    <n v="0.42857142857142855"/>
    <x v="0"/>
    <s v=""/>
    <s v=""/>
    <m/>
    <n v="20.5"/>
    <x v="0"/>
    <n v="26000"/>
    <n v="787500"/>
  </r>
  <r>
    <s v="P007"/>
    <x v="6"/>
    <x v="1"/>
    <x v="3"/>
    <x v="3"/>
    <n v="25"/>
    <n v="17"/>
    <n v="8"/>
    <n v="2000"/>
    <n v="3500"/>
    <n v="59500"/>
    <n v="34000"/>
    <n v="25500"/>
    <n v="0.42857142857142855"/>
    <x v="0"/>
    <s v=""/>
    <s v=""/>
    <m/>
    <n v="16.5"/>
    <x v="0"/>
    <n v="16000"/>
    <n v="1011500"/>
  </r>
  <r>
    <s v="P007"/>
    <x v="6"/>
    <x v="1"/>
    <x v="3"/>
    <x v="4"/>
    <n v="20"/>
    <n v="3"/>
    <n v="17"/>
    <n v="2000"/>
    <n v="3500"/>
    <n v="10500"/>
    <n v="6000"/>
    <n v="4500"/>
    <n v="0.42857142857142855"/>
    <x v="0"/>
    <s v=""/>
    <s v=""/>
    <m/>
    <n v="18.5"/>
    <x v="0"/>
    <n v="34000"/>
    <n v="31500"/>
  </r>
  <r>
    <s v="P007"/>
    <x v="6"/>
    <x v="1"/>
    <x v="3"/>
    <x v="5"/>
    <n v="31"/>
    <n v="0"/>
    <n v="31"/>
    <n v="2000"/>
    <n v="3500"/>
    <n v="0"/>
    <n v="0"/>
    <n v="0"/>
    <n v="0"/>
    <x v="0"/>
    <s v="Dead Stock"/>
    <s v="Low Margin"/>
    <m/>
    <n v="31"/>
    <x v="0"/>
    <n v="62000"/>
    <n v="0"/>
  </r>
  <r>
    <s v="P008"/>
    <x v="7"/>
    <x v="1"/>
    <x v="0"/>
    <x v="0"/>
    <n v="38"/>
    <n v="30"/>
    <n v="8"/>
    <n v="20000"/>
    <n v="28000"/>
    <n v="840000"/>
    <n v="600000"/>
    <n v="240000"/>
    <n v="0.2857142857142857"/>
    <x v="1"/>
    <s v=""/>
    <s v=""/>
    <m/>
    <n v="23"/>
    <x v="0"/>
    <n v="160000"/>
    <n v="25200000"/>
  </r>
  <r>
    <s v="P008"/>
    <x v="7"/>
    <x v="1"/>
    <x v="0"/>
    <x v="1"/>
    <n v="50"/>
    <n v="28"/>
    <n v="22"/>
    <n v="20000"/>
    <n v="28000"/>
    <n v="784000"/>
    <n v="560000"/>
    <n v="224000"/>
    <n v="0.2857142857142857"/>
    <x v="1"/>
    <s v=""/>
    <s v=""/>
    <m/>
    <n v="36"/>
    <x v="0"/>
    <n v="440000"/>
    <n v="21952000"/>
  </r>
  <r>
    <s v="P008"/>
    <x v="7"/>
    <x v="1"/>
    <x v="0"/>
    <x v="2"/>
    <n v="60"/>
    <n v="27"/>
    <n v="33"/>
    <n v="20000"/>
    <n v="28000"/>
    <n v="756000"/>
    <n v="540000"/>
    <n v="216000"/>
    <n v="0.2857142857142857"/>
    <x v="1"/>
    <s v=""/>
    <s v=""/>
    <m/>
    <n v="46.5"/>
    <x v="0"/>
    <n v="660000"/>
    <n v="20412000"/>
  </r>
  <r>
    <s v="P008"/>
    <x v="7"/>
    <x v="1"/>
    <x v="0"/>
    <x v="3"/>
    <n v="56"/>
    <n v="46"/>
    <n v="10"/>
    <n v="20000"/>
    <n v="28000"/>
    <n v="1288000"/>
    <n v="920000"/>
    <n v="368000"/>
    <n v="0.2857142857142857"/>
    <x v="1"/>
    <s v=""/>
    <s v=""/>
    <m/>
    <n v="33"/>
    <x v="0"/>
    <n v="200000"/>
    <n v="59248000"/>
  </r>
  <r>
    <s v="P008"/>
    <x v="7"/>
    <x v="1"/>
    <x v="0"/>
    <x v="4"/>
    <n v="43"/>
    <n v="10"/>
    <n v="33"/>
    <n v="20000"/>
    <n v="28000"/>
    <n v="280000"/>
    <n v="200000"/>
    <n v="80000"/>
    <n v="0.2857142857142857"/>
    <x v="0"/>
    <s v=""/>
    <s v=""/>
    <m/>
    <n v="38"/>
    <x v="0"/>
    <n v="660000"/>
    <n v="2800000"/>
  </r>
  <r>
    <s v="P008"/>
    <x v="7"/>
    <x v="1"/>
    <x v="0"/>
    <x v="5"/>
    <n v="33"/>
    <n v="2"/>
    <n v="31"/>
    <n v="20000"/>
    <n v="28000"/>
    <n v="56000"/>
    <n v="40000"/>
    <n v="16000"/>
    <n v="0.2857142857142857"/>
    <x v="0"/>
    <s v=""/>
    <s v=""/>
    <m/>
    <n v="32"/>
    <x v="0"/>
    <n v="620000"/>
    <n v="112000"/>
  </r>
  <r>
    <s v="P008"/>
    <x v="7"/>
    <x v="1"/>
    <x v="1"/>
    <x v="0"/>
    <n v="38"/>
    <n v="8"/>
    <n v="30"/>
    <n v="20000"/>
    <n v="28000"/>
    <n v="224000"/>
    <n v="160000"/>
    <n v="64000"/>
    <n v="0.2857142857142857"/>
    <x v="0"/>
    <s v=""/>
    <s v=""/>
    <m/>
    <n v="34"/>
    <x v="0"/>
    <n v="600000"/>
    <n v="1792000"/>
  </r>
  <r>
    <s v="P008"/>
    <x v="7"/>
    <x v="1"/>
    <x v="1"/>
    <x v="1"/>
    <n v="21"/>
    <n v="3"/>
    <n v="18"/>
    <n v="20000"/>
    <n v="28000"/>
    <n v="84000"/>
    <n v="60000"/>
    <n v="24000"/>
    <n v="0.2857142857142857"/>
    <x v="0"/>
    <s v=""/>
    <s v=""/>
    <m/>
    <n v="19.5"/>
    <x v="0"/>
    <n v="360000"/>
    <n v="252000"/>
  </r>
  <r>
    <s v="P008"/>
    <x v="7"/>
    <x v="1"/>
    <x v="1"/>
    <x v="2"/>
    <n v="18"/>
    <n v="14"/>
    <n v="4"/>
    <n v="20000"/>
    <n v="28000"/>
    <n v="392000"/>
    <n v="280000"/>
    <n v="112000"/>
    <n v="0.2857142857142857"/>
    <x v="0"/>
    <s v=""/>
    <s v=""/>
    <m/>
    <n v="11"/>
    <x v="0"/>
    <n v="80000"/>
    <n v="5488000"/>
  </r>
  <r>
    <s v="P008"/>
    <x v="7"/>
    <x v="1"/>
    <x v="1"/>
    <x v="3"/>
    <n v="25"/>
    <n v="0"/>
    <n v="25"/>
    <n v="20000"/>
    <n v="28000"/>
    <n v="0"/>
    <n v="0"/>
    <n v="0"/>
    <n v="0"/>
    <x v="0"/>
    <s v="Dead Stock"/>
    <s v="Low Margin"/>
    <m/>
    <n v="25"/>
    <x v="0"/>
    <n v="500000"/>
    <n v="0"/>
  </r>
  <r>
    <s v="P008"/>
    <x v="7"/>
    <x v="1"/>
    <x v="1"/>
    <x v="4"/>
    <n v="37"/>
    <n v="26"/>
    <n v="11"/>
    <n v="20000"/>
    <n v="28000"/>
    <n v="728000"/>
    <n v="520000"/>
    <n v="208000"/>
    <n v="0.2857142857142857"/>
    <x v="1"/>
    <s v=""/>
    <s v=""/>
    <m/>
    <n v="24"/>
    <x v="0"/>
    <n v="220000"/>
    <n v="18928000"/>
  </r>
  <r>
    <s v="P008"/>
    <x v="7"/>
    <x v="1"/>
    <x v="1"/>
    <x v="5"/>
    <n v="40"/>
    <n v="20"/>
    <n v="20"/>
    <n v="20000"/>
    <n v="28000"/>
    <n v="560000"/>
    <n v="400000"/>
    <n v="160000"/>
    <n v="0.2857142857142857"/>
    <x v="1"/>
    <s v=""/>
    <s v=""/>
    <m/>
    <n v="30"/>
    <x v="0"/>
    <n v="400000"/>
    <n v="11200000"/>
  </r>
  <r>
    <s v="P008"/>
    <x v="7"/>
    <x v="1"/>
    <x v="2"/>
    <x v="0"/>
    <n v="58"/>
    <n v="35"/>
    <n v="23"/>
    <n v="20000"/>
    <n v="28000"/>
    <n v="980000"/>
    <n v="700000"/>
    <n v="280000"/>
    <n v="0.2857142857142857"/>
    <x v="1"/>
    <s v=""/>
    <s v=""/>
    <m/>
    <n v="40.5"/>
    <x v="0"/>
    <n v="460000"/>
    <n v="34300000"/>
  </r>
  <r>
    <s v="P008"/>
    <x v="7"/>
    <x v="1"/>
    <x v="2"/>
    <x v="1"/>
    <n v="13"/>
    <n v="4"/>
    <n v="9"/>
    <n v="20000"/>
    <n v="28000"/>
    <n v="112000"/>
    <n v="80000"/>
    <n v="32000"/>
    <n v="0.2857142857142857"/>
    <x v="0"/>
    <s v=""/>
    <s v=""/>
    <m/>
    <n v="11"/>
    <x v="0"/>
    <n v="180000"/>
    <n v="448000"/>
  </r>
  <r>
    <s v="P008"/>
    <x v="7"/>
    <x v="1"/>
    <x v="2"/>
    <x v="2"/>
    <n v="58"/>
    <n v="16"/>
    <n v="42"/>
    <n v="20000"/>
    <n v="28000"/>
    <n v="448000"/>
    <n v="320000"/>
    <n v="128000"/>
    <n v="0.2857142857142857"/>
    <x v="0"/>
    <s v=""/>
    <s v=""/>
    <m/>
    <n v="50"/>
    <x v="0"/>
    <n v="840000"/>
    <n v="7168000"/>
  </r>
  <r>
    <s v="P008"/>
    <x v="7"/>
    <x v="1"/>
    <x v="2"/>
    <x v="3"/>
    <n v="19"/>
    <n v="16"/>
    <n v="3"/>
    <n v="20000"/>
    <n v="28000"/>
    <n v="448000"/>
    <n v="320000"/>
    <n v="128000"/>
    <n v="0.2857142857142857"/>
    <x v="0"/>
    <s v=""/>
    <s v=""/>
    <m/>
    <n v="11"/>
    <x v="0"/>
    <n v="60000"/>
    <n v="7168000"/>
  </r>
  <r>
    <s v="P008"/>
    <x v="7"/>
    <x v="1"/>
    <x v="2"/>
    <x v="4"/>
    <n v="48"/>
    <n v="14"/>
    <n v="34"/>
    <n v="20000"/>
    <n v="28000"/>
    <n v="392000"/>
    <n v="280000"/>
    <n v="112000"/>
    <n v="0.2857142857142857"/>
    <x v="0"/>
    <s v=""/>
    <s v=""/>
    <m/>
    <n v="41"/>
    <x v="0"/>
    <n v="680000"/>
    <n v="5488000"/>
  </r>
  <r>
    <s v="P008"/>
    <x v="7"/>
    <x v="1"/>
    <x v="2"/>
    <x v="5"/>
    <n v="36"/>
    <n v="19"/>
    <n v="17"/>
    <n v="20000"/>
    <n v="28000"/>
    <n v="532000"/>
    <n v="380000"/>
    <n v="152000"/>
    <n v="0.2857142857142857"/>
    <x v="0"/>
    <s v=""/>
    <s v=""/>
    <m/>
    <n v="26.5"/>
    <x v="0"/>
    <n v="340000"/>
    <n v="10108000"/>
  </r>
  <r>
    <s v="P008"/>
    <x v="7"/>
    <x v="1"/>
    <x v="3"/>
    <x v="0"/>
    <n v="58"/>
    <n v="2"/>
    <n v="56"/>
    <n v="20000"/>
    <n v="28000"/>
    <n v="56000"/>
    <n v="40000"/>
    <n v="16000"/>
    <n v="0.2857142857142857"/>
    <x v="0"/>
    <s v=""/>
    <s v=""/>
    <m/>
    <n v="57"/>
    <x v="1"/>
    <n v="1120000"/>
    <n v="112000"/>
  </r>
  <r>
    <s v="P008"/>
    <x v="7"/>
    <x v="1"/>
    <x v="3"/>
    <x v="1"/>
    <n v="40"/>
    <n v="40"/>
    <n v="0"/>
    <n v="20000"/>
    <n v="28000"/>
    <n v="1120000"/>
    <n v="800000"/>
    <n v="320000"/>
    <n v="0.2857142857142857"/>
    <x v="1"/>
    <s v=""/>
    <s v=""/>
    <m/>
    <n v="20"/>
    <x v="0"/>
    <n v="0"/>
    <n v="44800000"/>
  </r>
  <r>
    <s v="P008"/>
    <x v="7"/>
    <x v="1"/>
    <x v="3"/>
    <x v="2"/>
    <n v="22"/>
    <n v="22"/>
    <n v="0"/>
    <n v="20000"/>
    <n v="28000"/>
    <n v="616000"/>
    <n v="440000"/>
    <n v="176000"/>
    <n v="0.2857142857142857"/>
    <x v="1"/>
    <s v=""/>
    <s v=""/>
    <m/>
    <n v="11"/>
    <x v="0"/>
    <n v="0"/>
    <n v="13552000"/>
  </r>
  <r>
    <s v="P008"/>
    <x v="7"/>
    <x v="1"/>
    <x v="3"/>
    <x v="3"/>
    <n v="15"/>
    <n v="9"/>
    <n v="6"/>
    <n v="20000"/>
    <n v="28000"/>
    <n v="252000"/>
    <n v="180000"/>
    <n v="72000"/>
    <n v="0.2857142857142857"/>
    <x v="0"/>
    <s v=""/>
    <s v=""/>
    <m/>
    <n v="10.5"/>
    <x v="0"/>
    <n v="120000"/>
    <n v="2268000"/>
  </r>
  <r>
    <s v="P008"/>
    <x v="7"/>
    <x v="1"/>
    <x v="3"/>
    <x v="4"/>
    <n v="46"/>
    <n v="17"/>
    <n v="29"/>
    <n v="20000"/>
    <n v="28000"/>
    <n v="476000"/>
    <n v="340000"/>
    <n v="136000"/>
    <n v="0.2857142857142857"/>
    <x v="0"/>
    <s v=""/>
    <s v=""/>
    <m/>
    <n v="37.5"/>
    <x v="0"/>
    <n v="580000"/>
    <n v="8092000"/>
  </r>
  <r>
    <s v="P008"/>
    <x v="7"/>
    <x v="1"/>
    <x v="3"/>
    <x v="5"/>
    <n v="26"/>
    <n v="3"/>
    <n v="23"/>
    <n v="20000"/>
    <n v="28000"/>
    <n v="84000"/>
    <n v="60000"/>
    <n v="24000"/>
    <n v="0.2857142857142857"/>
    <x v="0"/>
    <s v=""/>
    <s v=""/>
    <m/>
    <n v="24.5"/>
    <x v="0"/>
    <n v="460000"/>
    <n v="252000"/>
  </r>
  <r>
    <s v="P009"/>
    <x v="8"/>
    <x v="2"/>
    <x v="0"/>
    <x v="0"/>
    <n v="555"/>
    <n v="552"/>
    <n v="3"/>
    <n v="40"/>
    <n v="60"/>
    <n v="33120"/>
    <n v="22080"/>
    <n v="11040"/>
    <n v="0.33333333333333331"/>
    <x v="1"/>
    <s v=""/>
    <s v=""/>
    <m/>
    <n v="279"/>
    <x v="0"/>
    <n v="120"/>
    <n v="18282240"/>
  </r>
  <r>
    <s v="P009"/>
    <x v="8"/>
    <x v="2"/>
    <x v="0"/>
    <x v="1"/>
    <n v="215"/>
    <n v="2"/>
    <n v="213"/>
    <n v="40"/>
    <n v="60"/>
    <n v="120"/>
    <n v="80"/>
    <n v="40"/>
    <n v="0.33333333333333331"/>
    <x v="0"/>
    <s v=""/>
    <s v=""/>
    <m/>
    <n v="214"/>
    <x v="2"/>
    <n v="8520"/>
    <n v="240"/>
  </r>
  <r>
    <s v="P009"/>
    <x v="8"/>
    <x v="2"/>
    <x v="0"/>
    <x v="2"/>
    <n v="519"/>
    <n v="331"/>
    <n v="188"/>
    <n v="40"/>
    <n v="60"/>
    <n v="19860"/>
    <n v="13240"/>
    <n v="6620"/>
    <n v="0.33333333333333331"/>
    <x v="1"/>
    <s v=""/>
    <s v=""/>
    <m/>
    <n v="353.5"/>
    <x v="3"/>
    <n v="7520"/>
    <n v="6573660"/>
  </r>
  <r>
    <s v="P009"/>
    <x v="8"/>
    <x v="2"/>
    <x v="0"/>
    <x v="3"/>
    <n v="707"/>
    <n v="217"/>
    <n v="490"/>
    <n v="40"/>
    <n v="60"/>
    <n v="13020"/>
    <n v="8680"/>
    <n v="4340"/>
    <n v="0.33333333333333331"/>
    <x v="1"/>
    <s v=""/>
    <s v=""/>
    <m/>
    <n v="598.5"/>
    <x v="2"/>
    <n v="19600"/>
    <n v="2825340"/>
  </r>
  <r>
    <s v="P009"/>
    <x v="8"/>
    <x v="2"/>
    <x v="0"/>
    <x v="4"/>
    <n v="759"/>
    <n v="459"/>
    <n v="300"/>
    <n v="40"/>
    <n v="60"/>
    <n v="27540"/>
    <n v="18360"/>
    <n v="9180"/>
    <n v="0.33333333333333331"/>
    <x v="1"/>
    <s v=""/>
    <s v=""/>
    <m/>
    <n v="529.5"/>
    <x v="2"/>
    <n v="12000"/>
    <n v="12640860"/>
  </r>
  <r>
    <s v="P009"/>
    <x v="8"/>
    <x v="2"/>
    <x v="0"/>
    <x v="5"/>
    <n v="312"/>
    <n v="82"/>
    <n v="230"/>
    <n v="40"/>
    <n v="60"/>
    <n v="4920"/>
    <n v="3280"/>
    <n v="1640"/>
    <n v="0.33333333333333331"/>
    <x v="1"/>
    <s v=""/>
    <s v=""/>
    <m/>
    <n v="271"/>
    <x v="2"/>
    <n v="9200"/>
    <n v="403440"/>
  </r>
  <r>
    <s v="P009"/>
    <x v="8"/>
    <x v="2"/>
    <x v="1"/>
    <x v="0"/>
    <n v="313"/>
    <n v="177"/>
    <n v="136"/>
    <n v="40"/>
    <n v="60"/>
    <n v="10620"/>
    <n v="7080"/>
    <n v="3540"/>
    <n v="0.33333333333333331"/>
    <x v="1"/>
    <s v=""/>
    <s v=""/>
    <m/>
    <n v="224.5"/>
    <x v="3"/>
    <n v="5440"/>
    <n v="1879740"/>
  </r>
  <r>
    <s v="P009"/>
    <x v="8"/>
    <x v="2"/>
    <x v="1"/>
    <x v="1"/>
    <n v="354"/>
    <n v="326"/>
    <n v="28"/>
    <n v="40"/>
    <n v="60"/>
    <n v="19560"/>
    <n v="13040"/>
    <n v="6520"/>
    <n v="0.33333333333333331"/>
    <x v="1"/>
    <s v=""/>
    <s v=""/>
    <m/>
    <n v="191"/>
    <x v="0"/>
    <n v="1120"/>
    <n v="6376560"/>
  </r>
  <r>
    <s v="P009"/>
    <x v="8"/>
    <x v="2"/>
    <x v="1"/>
    <x v="2"/>
    <n v="526"/>
    <n v="385"/>
    <n v="141"/>
    <n v="40"/>
    <n v="60"/>
    <n v="23100"/>
    <n v="15400"/>
    <n v="7700"/>
    <n v="0.33333333333333331"/>
    <x v="1"/>
    <s v=""/>
    <s v=""/>
    <m/>
    <n v="333.5"/>
    <x v="3"/>
    <n v="5640"/>
    <n v="8893500"/>
  </r>
  <r>
    <s v="P009"/>
    <x v="8"/>
    <x v="2"/>
    <x v="1"/>
    <x v="3"/>
    <n v="578"/>
    <n v="310"/>
    <n v="268"/>
    <n v="40"/>
    <n v="60"/>
    <n v="18600"/>
    <n v="12400"/>
    <n v="6200"/>
    <n v="0.33333333333333331"/>
    <x v="1"/>
    <s v=""/>
    <s v=""/>
    <m/>
    <n v="423"/>
    <x v="2"/>
    <n v="10720"/>
    <n v="5766000"/>
  </r>
  <r>
    <s v="P009"/>
    <x v="8"/>
    <x v="2"/>
    <x v="1"/>
    <x v="4"/>
    <n v="322"/>
    <n v="305"/>
    <n v="17"/>
    <n v="40"/>
    <n v="60"/>
    <n v="18300"/>
    <n v="12200"/>
    <n v="6100"/>
    <n v="0.33333333333333331"/>
    <x v="1"/>
    <s v=""/>
    <s v=""/>
    <m/>
    <n v="169.5"/>
    <x v="0"/>
    <n v="680"/>
    <n v="5581500"/>
  </r>
  <r>
    <s v="P009"/>
    <x v="8"/>
    <x v="2"/>
    <x v="1"/>
    <x v="5"/>
    <n v="642"/>
    <n v="485"/>
    <n v="157"/>
    <n v="40"/>
    <n v="60"/>
    <n v="29100"/>
    <n v="19400"/>
    <n v="9700"/>
    <n v="0.33333333333333331"/>
    <x v="1"/>
    <s v=""/>
    <s v=""/>
    <m/>
    <n v="399.5"/>
    <x v="3"/>
    <n v="6280"/>
    <n v="14113500"/>
  </r>
  <r>
    <s v="P009"/>
    <x v="8"/>
    <x v="2"/>
    <x v="2"/>
    <x v="0"/>
    <n v="553"/>
    <n v="243"/>
    <n v="310"/>
    <n v="40"/>
    <n v="60"/>
    <n v="14580"/>
    <n v="9720"/>
    <n v="4860"/>
    <n v="0.33333333333333331"/>
    <x v="1"/>
    <s v=""/>
    <s v=""/>
    <m/>
    <n v="431.5"/>
    <x v="2"/>
    <n v="12400"/>
    <n v="3542940"/>
  </r>
  <r>
    <s v="P009"/>
    <x v="8"/>
    <x v="2"/>
    <x v="2"/>
    <x v="1"/>
    <n v="545"/>
    <n v="61"/>
    <n v="484"/>
    <n v="40"/>
    <n v="60"/>
    <n v="3660"/>
    <n v="2440"/>
    <n v="1220"/>
    <n v="0.33333333333333331"/>
    <x v="1"/>
    <s v=""/>
    <s v=""/>
    <m/>
    <n v="514.5"/>
    <x v="2"/>
    <n v="19360"/>
    <n v="223260"/>
  </r>
  <r>
    <s v="P009"/>
    <x v="8"/>
    <x v="2"/>
    <x v="2"/>
    <x v="2"/>
    <n v="790"/>
    <n v="773"/>
    <n v="17"/>
    <n v="40"/>
    <n v="60"/>
    <n v="46380"/>
    <n v="30920"/>
    <n v="15460"/>
    <n v="0.33333333333333331"/>
    <x v="1"/>
    <s v=""/>
    <s v=""/>
    <m/>
    <n v="403.5"/>
    <x v="0"/>
    <n v="680"/>
    <n v="35851740"/>
  </r>
  <r>
    <s v="P009"/>
    <x v="8"/>
    <x v="2"/>
    <x v="2"/>
    <x v="3"/>
    <n v="206"/>
    <n v="23"/>
    <n v="183"/>
    <n v="40"/>
    <n v="60"/>
    <n v="1380"/>
    <n v="920"/>
    <n v="460"/>
    <n v="0.33333333333333331"/>
    <x v="1"/>
    <s v=""/>
    <s v=""/>
    <m/>
    <n v="194.5"/>
    <x v="3"/>
    <n v="7320"/>
    <n v="31740"/>
  </r>
  <r>
    <s v="P009"/>
    <x v="8"/>
    <x v="2"/>
    <x v="2"/>
    <x v="4"/>
    <n v="452"/>
    <n v="428"/>
    <n v="24"/>
    <n v="40"/>
    <n v="60"/>
    <n v="25680"/>
    <n v="17120"/>
    <n v="8560"/>
    <n v="0.33333333333333331"/>
    <x v="1"/>
    <s v=""/>
    <s v=""/>
    <m/>
    <n v="238"/>
    <x v="0"/>
    <n v="960"/>
    <n v="10991040"/>
  </r>
  <r>
    <s v="P009"/>
    <x v="8"/>
    <x v="2"/>
    <x v="2"/>
    <x v="5"/>
    <n v="411"/>
    <n v="178"/>
    <n v="233"/>
    <n v="40"/>
    <n v="60"/>
    <n v="10680"/>
    <n v="7120"/>
    <n v="3560"/>
    <n v="0.33333333333333331"/>
    <x v="1"/>
    <s v=""/>
    <s v=""/>
    <m/>
    <n v="322"/>
    <x v="2"/>
    <n v="9320"/>
    <n v="1901040"/>
  </r>
  <r>
    <s v="P009"/>
    <x v="8"/>
    <x v="2"/>
    <x v="3"/>
    <x v="0"/>
    <n v="515"/>
    <n v="236"/>
    <n v="279"/>
    <n v="40"/>
    <n v="60"/>
    <n v="14160"/>
    <n v="9440"/>
    <n v="4720"/>
    <n v="0.33333333333333331"/>
    <x v="1"/>
    <s v=""/>
    <s v=""/>
    <m/>
    <n v="397"/>
    <x v="2"/>
    <n v="11160"/>
    <n v="3341760"/>
  </r>
  <r>
    <s v="P009"/>
    <x v="8"/>
    <x v="2"/>
    <x v="3"/>
    <x v="1"/>
    <n v="263"/>
    <n v="232"/>
    <n v="31"/>
    <n v="40"/>
    <n v="60"/>
    <n v="13920"/>
    <n v="9280"/>
    <n v="4640"/>
    <n v="0.33333333333333331"/>
    <x v="1"/>
    <s v=""/>
    <s v=""/>
    <m/>
    <n v="147"/>
    <x v="0"/>
    <n v="1240"/>
    <n v="3229440"/>
  </r>
  <r>
    <s v="P009"/>
    <x v="8"/>
    <x v="2"/>
    <x v="3"/>
    <x v="2"/>
    <n v="244"/>
    <n v="146"/>
    <n v="98"/>
    <n v="40"/>
    <n v="60"/>
    <n v="8760"/>
    <n v="5840"/>
    <n v="2920"/>
    <n v="0.33333333333333331"/>
    <x v="1"/>
    <s v=""/>
    <s v=""/>
    <m/>
    <n v="171"/>
    <x v="1"/>
    <n v="3920"/>
    <n v="1278960"/>
  </r>
  <r>
    <s v="P009"/>
    <x v="8"/>
    <x v="2"/>
    <x v="3"/>
    <x v="3"/>
    <n v="505"/>
    <n v="68"/>
    <n v="437"/>
    <n v="40"/>
    <n v="60"/>
    <n v="4080"/>
    <n v="2720"/>
    <n v="1360"/>
    <n v="0.33333333333333331"/>
    <x v="1"/>
    <s v=""/>
    <s v=""/>
    <m/>
    <n v="471"/>
    <x v="2"/>
    <n v="17480"/>
    <n v="277440"/>
  </r>
  <r>
    <s v="P009"/>
    <x v="8"/>
    <x v="2"/>
    <x v="3"/>
    <x v="4"/>
    <n v="647"/>
    <n v="628"/>
    <n v="19"/>
    <n v="40"/>
    <n v="60"/>
    <n v="37680"/>
    <n v="25120"/>
    <n v="12560"/>
    <n v="0.33333333333333331"/>
    <x v="1"/>
    <s v=""/>
    <s v=""/>
    <m/>
    <n v="333"/>
    <x v="0"/>
    <n v="760"/>
    <n v="23663040"/>
  </r>
  <r>
    <s v="P009"/>
    <x v="8"/>
    <x v="2"/>
    <x v="3"/>
    <x v="5"/>
    <n v="535"/>
    <n v="330"/>
    <n v="205"/>
    <n v="40"/>
    <n v="60"/>
    <n v="19800"/>
    <n v="13200"/>
    <n v="6600"/>
    <n v="0.33333333333333331"/>
    <x v="1"/>
    <s v=""/>
    <s v=""/>
    <m/>
    <n v="370"/>
    <x v="2"/>
    <n v="8200"/>
    <n v="6534000"/>
  </r>
  <r>
    <s v="P010"/>
    <x v="9"/>
    <x v="2"/>
    <x v="0"/>
    <x v="0"/>
    <n v="425"/>
    <n v="260"/>
    <n v="165"/>
    <n v="90"/>
    <n v="120"/>
    <n v="31200"/>
    <n v="23400"/>
    <n v="7800"/>
    <n v="0.25"/>
    <x v="1"/>
    <s v=""/>
    <s v=""/>
    <m/>
    <n v="295"/>
    <x v="3"/>
    <n v="14850"/>
    <n v="8112000"/>
  </r>
  <r>
    <s v="P010"/>
    <x v="9"/>
    <x v="2"/>
    <x v="0"/>
    <x v="1"/>
    <n v="422"/>
    <n v="140"/>
    <n v="282"/>
    <n v="90"/>
    <n v="120"/>
    <n v="16800"/>
    <n v="12600"/>
    <n v="4200"/>
    <n v="0.25"/>
    <x v="1"/>
    <s v=""/>
    <s v=""/>
    <m/>
    <n v="352"/>
    <x v="2"/>
    <n v="25380"/>
    <n v="2352000"/>
  </r>
  <r>
    <s v="P010"/>
    <x v="9"/>
    <x v="2"/>
    <x v="0"/>
    <x v="2"/>
    <n v="720"/>
    <n v="146"/>
    <n v="574"/>
    <n v="90"/>
    <n v="120"/>
    <n v="17520"/>
    <n v="13140"/>
    <n v="4380"/>
    <n v="0.25"/>
    <x v="1"/>
    <s v=""/>
    <s v=""/>
    <m/>
    <n v="647"/>
    <x v="2"/>
    <n v="51660"/>
    <n v="2557920"/>
  </r>
  <r>
    <s v="P010"/>
    <x v="9"/>
    <x v="2"/>
    <x v="0"/>
    <x v="3"/>
    <n v="481"/>
    <n v="230"/>
    <n v="251"/>
    <n v="90"/>
    <n v="120"/>
    <n v="27600"/>
    <n v="20700"/>
    <n v="6900"/>
    <n v="0.25"/>
    <x v="1"/>
    <s v=""/>
    <s v=""/>
    <m/>
    <n v="366"/>
    <x v="2"/>
    <n v="22590"/>
    <n v="6348000"/>
  </r>
  <r>
    <s v="P010"/>
    <x v="9"/>
    <x v="2"/>
    <x v="0"/>
    <x v="4"/>
    <n v="749"/>
    <n v="728"/>
    <n v="21"/>
    <n v="90"/>
    <n v="120"/>
    <n v="87360"/>
    <n v="65520"/>
    <n v="21840"/>
    <n v="0.25"/>
    <x v="1"/>
    <s v=""/>
    <s v=""/>
    <m/>
    <n v="385"/>
    <x v="0"/>
    <n v="1890"/>
    <n v="63598080"/>
  </r>
  <r>
    <s v="P010"/>
    <x v="9"/>
    <x v="2"/>
    <x v="0"/>
    <x v="5"/>
    <n v="526"/>
    <n v="510"/>
    <n v="16"/>
    <n v="90"/>
    <n v="120"/>
    <n v="61200"/>
    <n v="45900"/>
    <n v="15300"/>
    <n v="0.25"/>
    <x v="1"/>
    <s v=""/>
    <s v=""/>
    <m/>
    <n v="271"/>
    <x v="0"/>
    <n v="1440"/>
    <n v="31212000"/>
  </r>
  <r>
    <s v="P010"/>
    <x v="9"/>
    <x v="2"/>
    <x v="1"/>
    <x v="0"/>
    <n v="776"/>
    <n v="448"/>
    <n v="328"/>
    <n v="90"/>
    <n v="120"/>
    <n v="53760"/>
    <n v="40320"/>
    <n v="13440"/>
    <n v="0.25"/>
    <x v="1"/>
    <s v=""/>
    <s v=""/>
    <m/>
    <n v="552"/>
    <x v="2"/>
    <n v="29520"/>
    <n v="24084480"/>
  </r>
  <r>
    <s v="P010"/>
    <x v="9"/>
    <x v="2"/>
    <x v="1"/>
    <x v="1"/>
    <n v="567"/>
    <n v="260"/>
    <n v="307"/>
    <n v="90"/>
    <n v="120"/>
    <n v="31200"/>
    <n v="23400"/>
    <n v="7800"/>
    <n v="0.25"/>
    <x v="1"/>
    <s v=""/>
    <s v=""/>
    <m/>
    <n v="437"/>
    <x v="2"/>
    <n v="27630"/>
    <n v="8112000"/>
  </r>
  <r>
    <s v="P010"/>
    <x v="9"/>
    <x v="2"/>
    <x v="1"/>
    <x v="2"/>
    <n v="687"/>
    <n v="129"/>
    <n v="558"/>
    <n v="90"/>
    <n v="120"/>
    <n v="15480"/>
    <n v="11610"/>
    <n v="3870"/>
    <n v="0.25"/>
    <x v="1"/>
    <s v=""/>
    <s v=""/>
    <m/>
    <n v="622.5"/>
    <x v="2"/>
    <n v="50220"/>
    <n v="1996920"/>
  </r>
  <r>
    <s v="P010"/>
    <x v="9"/>
    <x v="2"/>
    <x v="1"/>
    <x v="3"/>
    <n v="348"/>
    <n v="341"/>
    <n v="7"/>
    <n v="90"/>
    <n v="120"/>
    <n v="40920"/>
    <n v="30690"/>
    <n v="10230"/>
    <n v="0.25"/>
    <x v="1"/>
    <s v=""/>
    <s v=""/>
    <m/>
    <n v="177.5"/>
    <x v="0"/>
    <n v="630"/>
    <n v="13953720"/>
  </r>
  <r>
    <s v="P010"/>
    <x v="9"/>
    <x v="2"/>
    <x v="1"/>
    <x v="4"/>
    <n v="272"/>
    <n v="154"/>
    <n v="118"/>
    <n v="90"/>
    <n v="120"/>
    <n v="18480"/>
    <n v="13860"/>
    <n v="4620"/>
    <n v="0.25"/>
    <x v="1"/>
    <s v=""/>
    <s v=""/>
    <m/>
    <n v="195"/>
    <x v="3"/>
    <n v="10620"/>
    <n v="2845920"/>
  </r>
  <r>
    <s v="P010"/>
    <x v="9"/>
    <x v="2"/>
    <x v="1"/>
    <x v="5"/>
    <n v="667"/>
    <n v="83"/>
    <n v="584"/>
    <n v="90"/>
    <n v="120"/>
    <n v="9960"/>
    <n v="7470"/>
    <n v="2490"/>
    <n v="0.25"/>
    <x v="1"/>
    <s v=""/>
    <s v=""/>
    <m/>
    <n v="625.5"/>
    <x v="2"/>
    <n v="52560"/>
    <n v="826680"/>
  </r>
  <r>
    <s v="P010"/>
    <x v="9"/>
    <x v="2"/>
    <x v="2"/>
    <x v="0"/>
    <n v="336"/>
    <n v="290"/>
    <n v="46"/>
    <n v="90"/>
    <n v="120"/>
    <n v="34800"/>
    <n v="26100"/>
    <n v="8700"/>
    <n v="0.25"/>
    <x v="1"/>
    <s v=""/>
    <s v=""/>
    <m/>
    <n v="191"/>
    <x v="0"/>
    <n v="4140"/>
    <n v="10092000"/>
  </r>
  <r>
    <s v="P010"/>
    <x v="9"/>
    <x v="2"/>
    <x v="2"/>
    <x v="1"/>
    <n v="240"/>
    <n v="237"/>
    <n v="3"/>
    <n v="90"/>
    <n v="120"/>
    <n v="28440"/>
    <n v="21330"/>
    <n v="7110"/>
    <n v="0.25"/>
    <x v="1"/>
    <s v=""/>
    <s v=""/>
    <m/>
    <n v="121.5"/>
    <x v="0"/>
    <n v="270"/>
    <n v="6740280"/>
  </r>
  <r>
    <s v="P010"/>
    <x v="9"/>
    <x v="2"/>
    <x v="2"/>
    <x v="2"/>
    <n v="240"/>
    <n v="33"/>
    <n v="207"/>
    <n v="90"/>
    <n v="120"/>
    <n v="3960"/>
    <n v="2970"/>
    <n v="990"/>
    <n v="0.25"/>
    <x v="1"/>
    <s v=""/>
    <s v=""/>
    <m/>
    <n v="223.5"/>
    <x v="2"/>
    <n v="18630"/>
    <n v="130680"/>
  </r>
  <r>
    <s v="P010"/>
    <x v="9"/>
    <x v="2"/>
    <x v="2"/>
    <x v="3"/>
    <n v="594"/>
    <n v="376"/>
    <n v="218"/>
    <n v="90"/>
    <n v="120"/>
    <n v="45120"/>
    <n v="33840"/>
    <n v="11280"/>
    <n v="0.25"/>
    <x v="1"/>
    <s v=""/>
    <s v=""/>
    <m/>
    <n v="406"/>
    <x v="2"/>
    <n v="19620"/>
    <n v="16965120"/>
  </r>
  <r>
    <s v="P010"/>
    <x v="9"/>
    <x v="2"/>
    <x v="2"/>
    <x v="4"/>
    <n v="747"/>
    <n v="68"/>
    <n v="679"/>
    <n v="90"/>
    <n v="120"/>
    <n v="8160"/>
    <n v="6120"/>
    <n v="2040"/>
    <n v="0.25"/>
    <x v="1"/>
    <s v=""/>
    <s v=""/>
    <m/>
    <n v="713"/>
    <x v="2"/>
    <n v="61110"/>
    <n v="554880"/>
  </r>
  <r>
    <s v="P010"/>
    <x v="9"/>
    <x v="2"/>
    <x v="2"/>
    <x v="5"/>
    <n v="585"/>
    <n v="430"/>
    <n v="155"/>
    <n v="90"/>
    <n v="120"/>
    <n v="51600"/>
    <n v="38700"/>
    <n v="12900"/>
    <n v="0.25"/>
    <x v="1"/>
    <s v=""/>
    <s v=""/>
    <m/>
    <n v="370"/>
    <x v="3"/>
    <n v="13950"/>
    <n v="22188000"/>
  </r>
  <r>
    <s v="P010"/>
    <x v="9"/>
    <x v="2"/>
    <x v="3"/>
    <x v="0"/>
    <n v="307"/>
    <n v="219"/>
    <n v="88"/>
    <n v="90"/>
    <n v="120"/>
    <n v="26280"/>
    <n v="19710"/>
    <n v="6570"/>
    <n v="0.25"/>
    <x v="1"/>
    <s v=""/>
    <s v=""/>
    <m/>
    <n v="197.5"/>
    <x v="1"/>
    <n v="7920"/>
    <n v="5755320"/>
  </r>
  <r>
    <s v="P010"/>
    <x v="9"/>
    <x v="2"/>
    <x v="3"/>
    <x v="1"/>
    <n v="607"/>
    <n v="359"/>
    <n v="248"/>
    <n v="90"/>
    <n v="120"/>
    <n v="43080"/>
    <n v="32310"/>
    <n v="10770"/>
    <n v="0.25"/>
    <x v="1"/>
    <s v=""/>
    <s v=""/>
    <m/>
    <n v="427.5"/>
    <x v="2"/>
    <n v="22320"/>
    <n v="15465720"/>
  </r>
  <r>
    <s v="P010"/>
    <x v="9"/>
    <x v="2"/>
    <x v="3"/>
    <x v="2"/>
    <n v="634"/>
    <n v="471"/>
    <n v="163"/>
    <n v="90"/>
    <n v="120"/>
    <n v="56520"/>
    <n v="42390"/>
    <n v="14130"/>
    <n v="0.25"/>
    <x v="1"/>
    <s v=""/>
    <s v=""/>
    <m/>
    <n v="398.5"/>
    <x v="3"/>
    <n v="14670"/>
    <n v="26620920"/>
  </r>
  <r>
    <s v="P010"/>
    <x v="9"/>
    <x v="2"/>
    <x v="3"/>
    <x v="3"/>
    <n v="566"/>
    <n v="507"/>
    <n v="59"/>
    <n v="90"/>
    <n v="120"/>
    <n v="60840"/>
    <n v="45630"/>
    <n v="15210"/>
    <n v="0.25"/>
    <x v="1"/>
    <s v=""/>
    <s v=""/>
    <m/>
    <n v="312.5"/>
    <x v="1"/>
    <n v="5310"/>
    <n v="30845880"/>
  </r>
  <r>
    <s v="P010"/>
    <x v="9"/>
    <x v="2"/>
    <x v="3"/>
    <x v="4"/>
    <n v="332"/>
    <n v="168"/>
    <n v="164"/>
    <n v="90"/>
    <n v="120"/>
    <n v="20160"/>
    <n v="15120"/>
    <n v="5040"/>
    <n v="0.25"/>
    <x v="1"/>
    <s v=""/>
    <s v=""/>
    <m/>
    <n v="248"/>
    <x v="3"/>
    <n v="14760"/>
    <n v="3386880"/>
  </r>
  <r>
    <s v="P010"/>
    <x v="9"/>
    <x v="2"/>
    <x v="3"/>
    <x v="5"/>
    <n v="549"/>
    <n v="130"/>
    <n v="419"/>
    <n v="90"/>
    <n v="120"/>
    <n v="15600"/>
    <n v="11700"/>
    <n v="3900"/>
    <n v="0.25"/>
    <x v="1"/>
    <s v=""/>
    <s v=""/>
    <m/>
    <n v="484"/>
    <x v="2"/>
    <n v="37710"/>
    <n v="2028000"/>
  </r>
  <r>
    <s v="P011"/>
    <x v="10"/>
    <x v="2"/>
    <x v="0"/>
    <x v="0"/>
    <n v="667"/>
    <n v="276"/>
    <n v="391"/>
    <n v="35"/>
    <n v="55"/>
    <n v="15180"/>
    <n v="9660"/>
    <n v="5520"/>
    <n v="0.36363636363636365"/>
    <x v="1"/>
    <s v=""/>
    <s v=""/>
    <m/>
    <n v="529"/>
    <x v="2"/>
    <n v="13685"/>
    <n v="4189680"/>
  </r>
  <r>
    <s v="P011"/>
    <x v="10"/>
    <x v="2"/>
    <x v="0"/>
    <x v="1"/>
    <n v="485"/>
    <n v="110"/>
    <n v="375"/>
    <n v="35"/>
    <n v="55"/>
    <n v="6050"/>
    <n v="3850"/>
    <n v="2200"/>
    <n v="0.36363636363636365"/>
    <x v="1"/>
    <s v=""/>
    <s v=""/>
    <m/>
    <n v="430"/>
    <x v="2"/>
    <n v="13125"/>
    <n v="665500"/>
  </r>
  <r>
    <s v="P011"/>
    <x v="10"/>
    <x v="2"/>
    <x v="0"/>
    <x v="2"/>
    <n v="727"/>
    <n v="465"/>
    <n v="262"/>
    <n v="35"/>
    <n v="55"/>
    <n v="25575"/>
    <n v="16275"/>
    <n v="9300"/>
    <n v="0.36363636363636365"/>
    <x v="1"/>
    <s v=""/>
    <s v=""/>
    <m/>
    <n v="494.5"/>
    <x v="2"/>
    <n v="9170"/>
    <n v="11892375"/>
  </r>
  <r>
    <s v="P011"/>
    <x v="10"/>
    <x v="2"/>
    <x v="0"/>
    <x v="3"/>
    <n v="449"/>
    <n v="155"/>
    <n v="294"/>
    <n v="35"/>
    <n v="55"/>
    <n v="8525"/>
    <n v="5425"/>
    <n v="3100"/>
    <n v="0.36363636363636365"/>
    <x v="1"/>
    <s v=""/>
    <s v=""/>
    <m/>
    <n v="371.5"/>
    <x v="2"/>
    <n v="10290"/>
    <n v="1321375"/>
  </r>
  <r>
    <s v="P011"/>
    <x v="10"/>
    <x v="2"/>
    <x v="0"/>
    <x v="4"/>
    <n v="427"/>
    <n v="161"/>
    <n v="266"/>
    <n v="35"/>
    <n v="55"/>
    <n v="8855"/>
    <n v="5635"/>
    <n v="3220"/>
    <n v="0.36363636363636365"/>
    <x v="1"/>
    <s v=""/>
    <s v=""/>
    <m/>
    <n v="346.5"/>
    <x v="2"/>
    <n v="9310"/>
    <n v="1425655"/>
  </r>
  <r>
    <s v="P011"/>
    <x v="10"/>
    <x v="2"/>
    <x v="0"/>
    <x v="5"/>
    <n v="484"/>
    <n v="44"/>
    <n v="440"/>
    <n v="35"/>
    <n v="55"/>
    <n v="2420"/>
    <n v="1540"/>
    <n v="880"/>
    <n v="0.36363636363636365"/>
    <x v="1"/>
    <s v=""/>
    <s v=""/>
    <m/>
    <n v="462"/>
    <x v="2"/>
    <n v="15400"/>
    <n v="106480"/>
  </r>
  <r>
    <s v="P011"/>
    <x v="10"/>
    <x v="2"/>
    <x v="1"/>
    <x v="0"/>
    <n v="797"/>
    <n v="535"/>
    <n v="262"/>
    <n v="35"/>
    <n v="55"/>
    <n v="29425"/>
    <n v="18725"/>
    <n v="10700"/>
    <n v="0.36363636363636365"/>
    <x v="1"/>
    <s v=""/>
    <s v=""/>
    <m/>
    <n v="529.5"/>
    <x v="2"/>
    <n v="9170"/>
    <n v="15742375"/>
  </r>
  <r>
    <s v="P011"/>
    <x v="10"/>
    <x v="2"/>
    <x v="1"/>
    <x v="1"/>
    <n v="443"/>
    <n v="296"/>
    <n v="147"/>
    <n v="35"/>
    <n v="55"/>
    <n v="16280"/>
    <n v="10360"/>
    <n v="5920"/>
    <n v="0.36363636363636365"/>
    <x v="1"/>
    <s v=""/>
    <s v=""/>
    <m/>
    <n v="295"/>
    <x v="3"/>
    <n v="5145"/>
    <n v="4818880"/>
  </r>
  <r>
    <s v="P011"/>
    <x v="10"/>
    <x v="2"/>
    <x v="1"/>
    <x v="2"/>
    <n v="224"/>
    <n v="185"/>
    <n v="39"/>
    <n v="35"/>
    <n v="55"/>
    <n v="10175"/>
    <n v="6475"/>
    <n v="3700"/>
    <n v="0.36363636363636365"/>
    <x v="1"/>
    <s v=""/>
    <s v=""/>
    <m/>
    <n v="131.5"/>
    <x v="0"/>
    <n v="1365"/>
    <n v="1882375"/>
  </r>
  <r>
    <s v="P011"/>
    <x v="10"/>
    <x v="2"/>
    <x v="1"/>
    <x v="3"/>
    <n v="503"/>
    <n v="190"/>
    <n v="313"/>
    <n v="35"/>
    <n v="55"/>
    <n v="10450"/>
    <n v="6650"/>
    <n v="3800"/>
    <n v="0.36363636363636365"/>
    <x v="1"/>
    <s v=""/>
    <s v=""/>
    <m/>
    <n v="408"/>
    <x v="2"/>
    <n v="10955"/>
    <n v="1985500"/>
  </r>
  <r>
    <s v="P011"/>
    <x v="10"/>
    <x v="2"/>
    <x v="1"/>
    <x v="4"/>
    <n v="421"/>
    <n v="262"/>
    <n v="159"/>
    <n v="35"/>
    <n v="55"/>
    <n v="14410"/>
    <n v="9170"/>
    <n v="5240"/>
    <n v="0.36363636363636365"/>
    <x v="1"/>
    <s v=""/>
    <s v=""/>
    <m/>
    <n v="290"/>
    <x v="3"/>
    <n v="5565"/>
    <n v="3775420"/>
  </r>
  <r>
    <s v="P011"/>
    <x v="10"/>
    <x v="2"/>
    <x v="1"/>
    <x v="5"/>
    <n v="499"/>
    <n v="489"/>
    <n v="10"/>
    <n v="35"/>
    <n v="55"/>
    <n v="26895"/>
    <n v="17115"/>
    <n v="9780"/>
    <n v="0.36363636363636365"/>
    <x v="1"/>
    <s v=""/>
    <s v=""/>
    <m/>
    <n v="254.5"/>
    <x v="0"/>
    <n v="350"/>
    <n v="13151655"/>
  </r>
  <r>
    <s v="P011"/>
    <x v="10"/>
    <x v="2"/>
    <x v="2"/>
    <x v="0"/>
    <n v="279"/>
    <n v="54"/>
    <n v="225"/>
    <n v="35"/>
    <n v="55"/>
    <n v="2970"/>
    <n v="1890"/>
    <n v="1080"/>
    <n v="0.36363636363636365"/>
    <x v="1"/>
    <s v=""/>
    <s v=""/>
    <m/>
    <n v="252"/>
    <x v="2"/>
    <n v="7875"/>
    <n v="160380"/>
  </r>
  <r>
    <s v="P011"/>
    <x v="10"/>
    <x v="2"/>
    <x v="2"/>
    <x v="1"/>
    <n v="563"/>
    <n v="128"/>
    <n v="435"/>
    <n v="35"/>
    <n v="55"/>
    <n v="7040"/>
    <n v="4480"/>
    <n v="2560"/>
    <n v="0.36363636363636365"/>
    <x v="1"/>
    <s v=""/>
    <s v=""/>
    <m/>
    <n v="499"/>
    <x v="2"/>
    <n v="15225"/>
    <n v="901120"/>
  </r>
  <r>
    <s v="P011"/>
    <x v="10"/>
    <x v="2"/>
    <x v="2"/>
    <x v="2"/>
    <n v="307"/>
    <n v="72"/>
    <n v="235"/>
    <n v="35"/>
    <n v="55"/>
    <n v="3960"/>
    <n v="2520"/>
    <n v="1440"/>
    <n v="0.36363636363636365"/>
    <x v="1"/>
    <s v=""/>
    <s v=""/>
    <m/>
    <n v="271"/>
    <x v="2"/>
    <n v="8225"/>
    <n v="285120"/>
  </r>
  <r>
    <s v="P011"/>
    <x v="10"/>
    <x v="2"/>
    <x v="2"/>
    <x v="3"/>
    <n v="704"/>
    <n v="669"/>
    <n v="35"/>
    <n v="35"/>
    <n v="55"/>
    <n v="36795"/>
    <n v="23415"/>
    <n v="13380"/>
    <n v="0.36363636363636365"/>
    <x v="1"/>
    <s v=""/>
    <s v=""/>
    <m/>
    <n v="369.5"/>
    <x v="0"/>
    <n v="1225"/>
    <n v="24615855"/>
  </r>
  <r>
    <s v="P011"/>
    <x v="10"/>
    <x v="2"/>
    <x v="2"/>
    <x v="4"/>
    <n v="353"/>
    <n v="58"/>
    <n v="295"/>
    <n v="35"/>
    <n v="55"/>
    <n v="3190"/>
    <n v="2030"/>
    <n v="1160"/>
    <n v="0.36363636363636365"/>
    <x v="1"/>
    <s v=""/>
    <s v=""/>
    <m/>
    <n v="324"/>
    <x v="2"/>
    <n v="10325"/>
    <n v="185020"/>
  </r>
  <r>
    <s v="P011"/>
    <x v="10"/>
    <x v="2"/>
    <x v="2"/>
    <x v="5"/>
    <n v="788"/>
    <n v="721"/>
    <n v="67"/>
    <n v="35"/>
    <n v="55"/>
    <n v="39655"/>
    <n v="25235"/>
    <n v="14420"/>
    <n v="0.36363636363636365"/>
    <x v="1"/>
    <s v=""/>
    <s v=""/>
    <m/>
    <n v="427.5"/>
    <x v="1"/>
    <n v="2345"/>
    <n v="28591255"/>
  </r>
  <r>
    <s v="P011"/>
    <x v="10"/>
    <x v="2"/>
    <x v="3"/>
    <x v="0"/>
    <n v="444"/>
    <n v="366"/>
    <n v="78"/>
    <n v="35"/>
    <n v="55"/>
    <n v="20130"/>
    <n v="12810"/>
    <n v="7320"/>
    <n v="0.36363636363636365"/>
    <x v="1"/>
    <s v=""/>
    <s v=""/>
    <m/>
    <n v="261"/>
    <x v="1"/>
    <n v="2730"/>
    <n v="7367580"/>
  </r>
  <r>
    <s v="P011"/>
    <x v="10"/>
    <x v="2"/>
    <x v="3"/>
    <x v="1"/>
    <n v="661"/>
    <n v="261"/>
    <n v="400"/>
    <n v="35"/>
    <n v="55"/>
    <n v="14355"/>
    <n v="9135"/>
    <n v="5220"/>
    <n v="0.36363636363636365"/>
    <x v="1"/>
    <s v=""/>
    <s v=""/>
    <m/>
    <n v="530.5"/>
    <x v="2"/>
    <n v="14000"/>
    <n v="3746655"/>
  </r>
  <r>
    <s v="P011"/>
    <x v="10"/>
    <x v="2"/>
    <x v="3"/>
    <x v="2"/>
    <n v="618"/>
    <n v="131"/>
    <n v="487"/>
    <n v="35"/>
    <n v="55"/>
    <n v="7205"/>
    <n v="4585"/>
    <n v="2620"/>
    <n v="0.36363636363636365"/>
    <x v="1"/>
    <s v=""/>
    <s v=""/>
    <m/>
    <n v="552.5"/>
    <x v="2"/>
    <n v="17045"/>
    <n v="943855"/>
  </r>
  <r>
    <s v="P011"/>
    <x v="10"/>
    <x v="2"/>
    <x v="3"/>
    <x v="3"/>
    <n v="336"/>
    <n v="132"/>
    <n v="204"/>
    <n v="35"/>
    <n v="55"/>
    <n v="7260"/>
    <n v="4620"/>
    <n v="2640"/>
    <n v="0.36363636363636365"/>
    <x v="1"/>
    <s v=""/>
    <s v=""/>
    <m/>
    <n v="270"/>
    <x v="2"/>
    <n v="7140"/>
    <n v="958320"/>
  </r>
  <r>
    <s v="P011"/>
    <x v="10"/>
    <x v="2"/>
    <x v="3"/>
    <x v="4"/>
    <n v="654"/>
    <n v="577"/>
    <n v="77"/>
    <n v="35"/>
    <n v="55"/>
    <n v="31735"/>
    <n v="20195"/>
    <n v="11540"/>
    <n v="0.36363636363636365"/>
    <x v="1"/>
    <s v=""/>
    <s v=""/>
    <m/>
    <n v="365.5"/>
    <x v="1"/>
    <n v="2695"/>
    <n v="18311095"/>
  </r>
  <r>
    <s v="P011"/>
    <x v="10"/>
    <x v="2"/>
    <x v="3"/>
    <x v="5"/>
    <n v="322"/>
    <n v="13"/>
    <n v="309"/>
    <n v="35"/>
    <n v="55"/>
    <n v="715"/>
    <n v="455"/>
    <n v="260"/>
    <n v="0.36363636363636365"/>
    <x v="0"/>
    <s v=""/>
    <s v=""/>
    <m/>
    <n v="315.5"/>
    <x v="2"/>
    <n v="10815"/>
    <n v="9295"/>
  </r>
  <r>
    <s v="P012"/>
    <x v="11"/>
    <x v="2"/>
    <x v="0"/>
    <x v="0"/>
    <n v="791"/>
    <n v="379"/>
    <n v="412"/>
    <n v="30"/>
    <n v="50"/>
    <n v="18950"/>
    <n v="11370"/>
    <n v="7580"/>
    <n v="0.4"/>
    <x v="1"/>
    <s v=""/>
    <s v=""/>
    <m/>
    <n v="601.5"/>
    <x v="2"/>
    <n v="12360"/>
    <n v="7182050"/>
  </r>
  <r>
    <s v="P012"/>
    <x v="11"/>
    <x v="2"/>
    <x v="0"/>
    <x v="1"/>
    <n v="597"/>
    <n v="531"/>
    <n v="66"/>
    <n v="30"/>
    <n v="50"/>
    <n v="26550"/>
    <n v="15930"/>
    <n v="10620"/>
    <n v="0.4"/>
    <x v="1"/>
    <s v=""/>
    <s v=""/>
    <m/>
    <n v="331.5"/>
    <x v="1"/>
    <n v="1980"/>
    <n v="14098050"/>
  </r>
  <r>
    <s v="P012"/>
    <x v="11"/>
    <x v="2"/>
    <x v="0"/>
    <x v="2"/>
    <n v="488"/>
    <n v="216"/>
    <n v="272"/>
    <n v="30"/>
    <n v="50"/>
    <n v="10800"/>
    <n v="6480"/>
    <n v="4320"/>
    <n v="0.4"/>
    <x v="1"/>
    <s v=""/>
    <s v=""/>
    <m/>
    <n v="380"/>
    <x v="2"/>
    <n v="8160"/>
    <n v="2332800"/>
  </r>
  <r>
    <s v="P012"/>
    <x v="11"/>
    <x v="2"/>
    <x v="0"/>
    <x v="3"/>
    <n v="721"/>
    <n v="420"/>
    <n v="301"/>
    <n v="30"/>
    <n v="50"/>
    <n v="21000"/>
    <n v="12600"/>
    <n v="8400"/>
    <n v="0.4"/>
    <x v="1"/>
    <s v=""/>
    <s v=""/>
    <m/>
    <n v="511"/>
    <x v="2"/>
    <n v="9030"/>
    <n v="8820000"/>
  </r>
  <r>
    <s v="P012"/>
    <x v="11"/>
    <x v="2"/>
    <x v="0"/>
    <x v="4"/>
    <n v="716"/>
    <n v="54"/>
    <n v="662"/>
    <n v="30"/>
    <n v="50"/>
    <n v="2700"/>
    <n v="1620"/>
    <n v="1080"/>
    <n v="0.4"/>
    <x v="1"/>
    <s v=""/>
    <s v=""/>
    <m/>
    <n v="689"/>
    <x v="2"/>
    <n v="19860"/>
    <n v="145800"/>
  </r>
  <r>
    <s v="P012"/>
    <x v="11"/>
    <x v="2"/>
    <x v="0"/>
    <x v="5"/>
    <n v="683"/>
    <n v="421"/>
    <n v="262"/>
    <n v="30"/>
    <n v="50"/>
    <n v="21050"/>
    <n v="12630"/>
    <n v="8420"/>
    <n v="0.4"/>
    <x v="1"/>
    <s v=""/>
    <s v=""/>
    <m/>
    <n v="472.5"/>
    <x v="2"/>
    <n v="7860"/>
    <n v="8862050"/>
  </r>
  <r>
    <s v="P012"/>
    <x v="11"/>
    <x v="2"/>
    <x v="1"/>
    <x v="0"/>
    <n v="607"/>
    <n v="8"/>
    <n v="599"/>
    <n v="30"/>
    <n v="50"/>
    <n v="400"/>
    <n v="240"/>
    <n v="160"/>
    <n v="0.4"/>
    <x v="0"/>
    <s v=""/>
    <s v=""/>
    <m/>
    <n v="603"/>
    <x v="2"/>
    <n v="17970"/>
    <n v="3200"/>
  </r>
  <r>
    <s v="P012"/>
    <x v="11"/>
    <x v="2"/>
    <x v="1"/>
    <x v="1"/>
    <n v="774"/>
    <n v="573"/>
    <n v="201"/>
    <n v="30"/>
    <n v="50"/>
    <n v="28650"/>
    <n v="17190"/>
    <n v="11460"/>
    <n v="0.4"/>
    <x v="1"/>
    <s v=""/>
    <s v=""/>
    <m/>
    <n v="487.5"/>
    <x v="2"/>
    <n v="6030"/>
    <n v="16416450"/>
  </r>
  <r>
    <s v="P012"/>
    <x v="11"/>
    <x v="2"/>
    <x v="1"/>
    <x v="2"/>
    <n v="341"/>
    <n v="299"/>
    <n v="42"/>
    <n v="30"/>
    <n v="50"/>
    <n v="14950"/>
    <n v="8970"/>
    <n v="5980"/>
    <n v="0.4"/>
    <x v="1"/>
    <s v=""/>
    <s v=""/>
    <m/>
    <n v="191.5"/>
    <x v="0"/>
    <n v="1260"/>
    <n v="4470050"/>
  </r>
  <r>
    <s v="P012"/>
    <x v="11"/>
    <x v="2"/>
    <x v="1"/>
    <x v="3"/>
    <n v="438"/>
    <n v="318"/>
    <n v="120"/>
    <n v="30"/>
    <n v="50"/>
    <n v="15900"/>
    <n v="9540"/>
    <n v="6360"/>
    <n v="0.4"/>
    <x v="1"/>
    <s v=""/>
    <s v=""/>
    <m/>
    <n v="279"/>
    <x v="3"/>
    <n v="3600"/>
    <n v="5056200"/>
  </r>
  <r>
    <s v="P012"/>
    <x v="11"/>
    <x v="2"/>
    <x v="1"/>
    <x v="4"/>
    <n v="200"/>
    <n v="118"/>
    <n v="82"/>
    <n v="30"/>
    <n v="50"/>
    <n v="5900"/>
    <n v="3540"/>
    <n v="2360"/>
    <n v="0.4"/>
    <x v="1"/>
    <s v=""/>
    <s v=""/>
    <m/>
    <n v="141"/>
    <x v="1"/>
    <n v="2460"/>
    <n v="696200"/>
  </r>
  <r>
    <s v="P012"/>
    <x v="11"/>
    <x v="2"/>
    <x v="1"/>
    <x v="5"/>
    <n v="501"/>
    <n v="215"/>
    <n v="286"/>
    <n v="30"/>
    <n v="50"/>
    <n v="10750"/>
    <n v="6450"/>
    <n v="4300"/>
    <n v="0.4"/>
    <x v="1"/>
    <s v=""/>
    <s v=""/>
    <m/>
    <n v="393.5"/>
    <x v="2"/>
    <n v="8580"/>
    <n v="2311250"/>
  </r>
  <r>
    <s v="P012"/>
    <x v="11"/>
    <x v="2"/>
    <x v="2"/>
    <x v="0"/>
    <n v="496"/>
    <n v="148"/>
    <n v="348"/>
    <n v="30"/>
    <n v="50"/>
    <n v="7400"/>
    <n v="4440"/>
    <n v="2960"/>
    <n v="0.4"/>
    <x v="1"/>
    <s v=""/>
    <s v=""/>
    <m/>
    <n v="422"/>
    <x v="2"/>
    <n v="10440"/>
    <n v="1095200"/>
  </r>
  <r>
    <s v="P012"/>
    <x v="11"/>
    <x v="2"/>
    <x v="2"/>
    <x v="1"/>
    <n v="341"/>
    <n v="103"/>
    <n v="238"/>
    <n v="30"/>
    <n v="50"/>
    <n v="5150"/>
    <n v="3090"/>
    <n v="2060"/>
    <n v="0.4"/>
    <x v="1"/>
    <s v=""/>
    <s v=""/>
    <m/>
    <n v="289.5"/>
    <x v="2"/>
    <n v="7140"/>
    <n v="530450"/>
  </r>
  <r>
    <s v="P012"/>
    <x v="11"/>
    <x v="2"/>
    <x v="2"/>
    <x v="2"/>
    <n v="491"/>
    <n v="210"/>
    <n v="281"/>
    <n v="30"/>
    <n v="50"/>
    <n v="10500"/>
    <n v="6300"/>
    <n v="4200"/>
    <n v="0.4"/>
    <x v="1"/>
    <s v=""/>
    <s v=""/>
    <m/>
    <n v="386"/>
    <x v="2"/>
    <n v="8430"/>
    <n v="2205000"/>
  </r>
  <r>
    <s v="P012"/>
    <x v="11"/>
    <x v="2"/>
    <x v="2"/>
    <x v="3"/>
    <n v="787"/>
    <n v="215"/>
    <n v="572"/>
    <n v="30"/>
    <n v="50"/>
    <n v="10750"/>
    <n v="6450"/>
    <n v="4300"/>
    <n v="0.4"/>
    <x v="1"/>
    <s v=""/>
    <s v=""/>
    <m/>
    <n v="679.5"/>
    <x v="2"/>
    <n v="17160"/>
    <n v="2311250"/>
  </r>
  <r>
    <s v="P012"/>
    <x v="11"/>
    <x v="2"/>
    <x v="2"/>
    <x v="4"/>
    <n v="518"/>
    <n v="362"/>
    <n v="156"/>
    <n v="30"/>
    <n v="50"/>
    <n v="18100"/>
    <n v="10860"/>
    <n v="7240"/>
    <n v="0.4"/>
    <x v="1"/>
    <s v=""/>
    <s v=""/>
    <m/>
    <n v="337"/>
    <x v="3"/>
    <n v="4680"/>
    <n v="6552200"/>
  </r>
  <r>
    <s v="P012"/>
    <x v="11"/>
    <x v="2"/>
    <x v="2"/>
    <x v="5"/>
    <n v="346"/>
    <n v="326"/>
    <n v="20"/>
    <n v="30"/>
    <n v="50"/>
    <n v="16300"/>
    <n v="9780"/>
    <n v="6520"/>
    <n v="0.4"/>
    <x v="1"/>
    <s v=""/>
    <s v=""/>
    <m/>
    <n v="183"/>
    <x v="0"/>
    <n v="600"/>
    <n v="5313800"/>
  </r>
  <r>
    <s v="P012"/>
    <x v="11"/>
    <x v="2"/>
    <x v="3"/>
    <x v="0"/>
    <n v="715"/>
    <n v="104"/>
    <n v="611"/>
    <n v="30"/>
    <n v="50"/>
    <n v="5200"/>
    <n v="3120"/>
    <n v="2080"/>
    <n v="0.4"/>
    <x v="1"/>
    <s v=""/>
    <s v=""/>
    <m/>
    <n v="663"/>
    <x v="2"/>
    <n v="18330"/>
    <n v="540800"/>
  </r>
  <r>
    <s v="P012"/>
    <x v="11"/>
    <x v="2"/>
    <x v="3"/>
    <x v="1"/>
    <n v="495"/>
    <n v="326"/>
    <n v="169"/>
    <n v="30"/>
    <n v="50"/>
    <n v="16300"/>
    <n v="9780"/>
    <n v="6520"/>
    <n v="0.4"/>
    <x v="1"/>
    <s v=""/>
    <s v=""/>
    <m/>
    <n v="332"/>
    <x v="3"/>
    <n v="5070"/>
    <n v="5313800"/>
  </r>
  <r>
    <s v="P012"/>
    <x v="11"/>
    <x v="2"/>
    <x v="3"/>
    <x v="2"/>
    <n v="550"/>
    <n v="322"/>
    <n v="228"/>
    <n v="30"/>
    <n v="50"/>
    <n v="16100"/>
    <n v="9660"/>
    <n v="6440"/>
    <n v="0.4"/>
    <x v="1"/>
    <s v=""/>
    <s v=""/>
    <m/>
    <n v="389"/>
    <x v="2"/>
    <n v="6840"/>
    <n v="5184200"/>
  </r>
  <r>
    <s v="P012"/>
    <x v="11"/>
    <x v="2"/>
    <x v="3"/>
    <x v="3"/>
    <n v="719"/>
    <n v="434"/>
    <n v="285"/>
    <n v="30"/>
    <n v="50"/>
    <n v="21700"/>
    <n v="13020"/>
    <n v="8680"/>
    <n v="0.4"/>
    <x v="1"/>
    <s v=""/>
    <s v=""/>
    <m/>
    <n v="502"/>
    <x v="2"/>
    <n v="8550"/>
    <n v="9417800"/>
  </r>
  <r>
    <s v="P012"/>
    <x v="11"/>
    <x v="2"/>
    <x v="3"/>
    <x v="4"/>
    <n v="555"/>
    <n v="553"/>
    <n v="2"/>
    <n v="30"/>
    <n v="50"/>
    <n v="27650"/>
    <n v="16590"/>
    <n v="11060"/>
    <n v="0.4"/>
    <x v="1"/>
    <s v=""/>
    <s v=""/>
    <m/>
    <n v="278.5"/>
    <x v="0"/>
    <n v="60"/>
    <n v="15290450"/>
  </r>
  <r>
    <s v="P012"/>
    <x v="11"/>
    <x v="2"/>
    <x v="3"/>
    <x v="5"/>
    <n v="468"/>
    <n v="154"/>
    <n v="314"/>
    <n v="30"/>
    <n v="50"/>
    <n v="7700"/>
    <n v="4620"/>
    <n v="3080"/>
    <n v="0.4"/>
    <x v="1"/>
    <s v=""/>
    <s v=""/>
    <m/>
    <n v="391"/>
    <x v="2"/>
    <n v="9420"/>
    <n v="1185800"/>
  </r>
  <r>
    <s v="P013"/>
    <x v="12"/>
    <x v="3"/>
    <x v="0"/>
    <x v="0"/>
    <n v="108"/>
    <n v="0"/>
    <n v="108"/>
    <n v="300"/>
    <n v="800"/>
    <n v="0"/>
    <n v="0"/>
    <n v="0"/>
    <n v="0"/>
    <x v="0"/>
    <s v="Dead Stock"/>
    <s v="Low Margin"/>
    <m/>
    <n v="108"/>
    <x v="3"/>
    <n v="32400"/>
    <n v="0"/>
  </r>
  <r>
    <s v="P013"/>
    <x v="12"/>
    <x v="3"/>
    <x v="0"/>
    <x v="1"/>
    <n v="91"/>
    <n v="8"/>
    <n v="83"/>
    <n v="300"/>
    <n v="800"/>
    <n v="6400"/>
    <n v="2400"/>
    <n v="4000"/>
    <n v="0.625"/>
    <x v="0"/>
    <s v=""/>
    <s v=""/>
    <m/>
    <n v="87"/>
    <x v="1"/>
    <n v="24900"/>
    <n v="51200"/>
  </r>
  <r>
    <s v="P013"/>
    <x v="12"/>
    <x v="3"/>
    <x v="0"/>
    <x v="2"/>
    <n v="180"/>
    <n v="6"/>
    <n v="174"/>
    <n v="300"/>
    <n v="800"/>
    <n v="4800"/>
    <n v="1800"/>
    <n v="3000"/>
    <n v="0.625"/>
    <x v="0"/>
    <s v=""/>
    <s v=""/>
    <m/>
    <n v="177"/>
    <x v="3"/>
    <n v="52200"/>
    <n v="28800"/>
  </r>
  <r>
    <s v="P013"/>
    <x v="12"/>
    <x v="3"/>
    <x v="0"/>
    <x v="3"/>
    <n v="163"/>
    <n v="110"/>
    <n v="53"/>
    <n v="300"/>
    <n v="800"/>
    <n v="88000"/>
    <n v="33000"/>
    <n v="55000"/>
    <n v="0.625"/>
    <x v="1"/>
    <s v=""/>
    <s v=""/>
    <m/>
    <n v="108"/>
    <x v="1"/>
    <n v="15900"/>
    <n v="9680000"/>
  </r>
  <r>
    <s v="P013"/>
    <x v="12"/>
    <x v="3"/>
    <x v="0"/>
    <x v="4"/>
    <n v="262"/>
    <n v="91"/>
    <n v="171"/>
    <n v="300"/>
    <n v="800"/>
    <n v="72800"/>
    <n v="27300"/>
    <n v="45500"/>
    <n v="0.625"/>
    <x v="1"/>
    <s v=""/>
    <s v=""/>
    <m/>
    <n v="216.5"/>
    <x v="3"/>
    <n v="51300"/>
    <n v="6624800"/>
  </r>
  <r>
    <s v="P013"/>
    <x v="12"/>
    <x v="3"/>
    <x v="0"/>
    <x v="5"/>
    <n v="101"/>
    <n v="42"/>
    <n v="59"/>
    <n v="300"/>
    <n v="800"/>
    <n v="33600"/>
    <n v="12600"/>
    <n v="21000"/>
    <n v="0.625"/>
    <x v="1"/>
    <s v=""/>
    <s v=""/>
    <m/>
    <n v="80"/>
    <x v="1"/>
    <n v="17700"/>
    <n v="1411200"/>
  </r>
  <r>
    <s v="P013"/>
    <x v="12"/>
    <x v="3"/>
    <x v="1"/>
    <x v="0"/>
    <n v="63"/>
    <n v="30"/>
    <n v="33"/>
    <n v="300"/>
    <n v="800"/>
    <n v="24000"/>
    <n v="9000"/>
    <n v="15000"/>
    <n v="0.625"/>
    <x v="1"/>
    <s v=""/>
    <s v=""/>
    <m/>
    <n v="48"/>
    <x v="0"/>
    <n v="9900"/>
    <n v="720000"/>
  </r>
  <r>
    <s v="P013"/>
    <x v="12"/>
    <x v="3"/>
    <x v="1"/>
    <x v="1"/>
    <n v="202"/>
    <n v="12"/>
    <n v="190"/>
    <n v="300"/>
    <n v="800"/>
    <n v="9600"/>
    <n v="3600"/>
    <n v="6000"/>
    <n v="0.625"/>
    <x v="0"/>
    <s v=""/>
    <s v=""/>
    <m/>
    <n v="196"/>
    <x v="3"/>
    <n v="57000"/>
    <n v="115200"/>
  </r>
  <r>
    <s v="P013"/>
    <x v="12"/>
    <x v="3"/>
    <x v="1"/>
    <x v="2"/>
    <n v="258"/>
    <n v="256"/>
    <n v="2"/>
    <n v="300"/>
    <n v="800"/>
    <n v="204800"/>
    <n v="76800"/>
    <n v="128000"/>
    <n v="0.625"/>
    <x v="1"/>
    <s v=""/>
    <s v=""/>
    <m/>
    <n v="130"/>
    <x v="0"/>
    <n v="600"/>
    <n v="52428800"/>
  </r>
  <r>
    <s v="P013"/>
    <x v="12"/>
    <x v="3"/>
    <x v="1"/>
    <x v="3"/>
    <n v="140"/>
    <n v="131"/>
    <n v="9"/>
    <n v="300"/>
    <n v="800"/>
    <n v="104800"/>
    <n v="39300"/>
    <n v="65500"/>
    <n v="0.625"/>
    <x v="1"/>
    <s v=""/>
    <s v=""/>
    <m/>
    <n v="74.5"/>
    <x v="0"/>
    <n v="2700"/>
    <n v="13728800"/>
  </r>
  <r>
    <s v="P013"/>
    <x v="12"/>
    <x v="3"/>
    <x v="1"/>
    <x v="4"/>
    <n v="230"/>
    <n v="27"/>
    <n v="203"/>
    <n v="300"/>
    <n v="800"/>
    <n v="21600"/>
    <n v="8100"/>
    <n v="13500"/>
    <n v="0.625"/>
    <x v="1"/>
    <s v=""/>
    <s v=""/>
    <m/>
    <n v="216.5"/>
    <x v="2"/>
    <n v="60900"/>
    <n v="583200"/>
  </r>
  <r>
    <s v="P013"/>
    <x v="12"/>
    <x v="3"/>
    <x v="1"/>
    <x v="5"/>
    <n v="285"/>
    <n v="128"/>
    <n v="157"/>
    <n v="300"/>
    <n v="800"/>
    <n v="102400"/>
    <n v="38400"/>
    <n v="64000"/>
    <n v="0.625"/>
    <x v="1"/>
    <s v=""/>
    <s v=""/>
    <m/>
    <n v="221"/>
    <x v="3"/>
    <n v="47100"/>
    <n v="13107200"/>
  </r>
  <r>
    <s v="P013"/>
    <x v="12"/>
    <x v="3"/>
    <x v="2"/>
    <x v="0"/>
    <n v="252"/>
    <n v="23"/>
    <n v="229"/>
    <n v="300"/>
    <n v="800"/>
    <n v="18400"/>
    <n v="6900"/>
    <n v="11500"/>
    <n v="0.625"/>
    <x v="1"/>
    <s v=""/>
    <s v=""/>
    <m/>
    <n v="240.5"/>
    <x v="2"/>
    <n v="68700"/>
    <n v="423200"/>
  </r>
  <r>
    <s v="P013"/>
    <x v="12"/>
    <x v="3"/>
    <x v="2"/>
    <x v="1"/>
    <n v="69"/>
    <n v="42"/>
    <n v="27"/>
    <n v="300"/>
    <n v="800"/>
    <n v="33600"/>
    <n v="12600"/>
    <n v="21000"/>
    <n v="0.625"/>
    <x v="1"/>
    <s v=""/>
    <s v=""/>
    <m/>
    <n v="48"/>
    <x v="0"/>
    <n v="8100"/>
    <n v="1411200"/>
  </r>
  <r>
    <s v="P013"/>
    <x v="12"/>
    <x v="3"/>
    <x v="2"/>
    <x v="2"/>
    <n v="208"/>
    <n v="157"/>
    <n v="51"/>
    <n v="300"/>
    <n v="800"/>
    <n v="125600"/>
    <n v="47100"/>
    <n v="78500"/>
    <n v="0.625"/>
    <x v="1"/>
    <s v=""/>
    <s v=""/>
    <m/>
    <n v="129.5"/>
    <x v="1"/>
    <n v="15300"/>
    <n v="19719200"/>
  </r>
  <r>
    <s v="P013"/>
    <x v="12"/>
    <x v="3"/>
    <x v="2"/>
    <x v="3"/>
    <n v="101"/>
    <n v="0"/>
    <n v="101"/>
    <n v="300"/>
    <n v="800"/>
    <n v="0"/>
    <n v="0"/>
    <n v="0"/>
    <n v="0"/>
    <x v="0"/>
    <s v="Dead Stock"/>
    <s v="Low Margin"/>
    <m/>
    <n v="101"/>
    <x v="3"/>
    <n v="30300"/>
    <n v="0"/>
  </r>
  <r>
    <s v="P013"/>
    <x v="12"/>
    <x v="3"/>
    <x v="2"/>
    <x v="4"/>
    <n v="150"/>
    <n v="32"/>
    <n v="118"/>
    <n v="300"/>
    <n v="800"/>
    <n v="25600"/>
    <n v="9600"/>
    <n v="16000"/>
    <n v="0.625"/>
    <x v="1"/>
    <s v=""/>
    <s v=""/>
    <m/>
    <n v="134"/>
    <x v="3"/>
    <n v="35400"/>
    <n v="819200"/>
  </r>
  <r>
    <s v="P013"/>
    <x v="12"/>
    <x v="3"/>
    <x v="2"/>
    <x v="5"/>
    <n v="267"/>
    <n v="124"/>
    <n v="143"/>
    <n v="300"/>
    <n v="800"/>
    <n v="99200"/>
    <n v="37200"/>
    <n v="62000"/>
    <n v="0.625"/>
    <x v="1"/>
    <s v=""/>
    <s v=""/>
    <m/>
    <n v="205"/>
    <x v="3"/>
    <n v="42900"/>
    <n v="12300800"/>
  </r>
  <r>
    <s v="P013"/>
    <x v="12"/>
    <x v="3"/>
    <x v="3"/>
    <x v="0"/>
    <n v="117"/>
    <n v="92"/>
    <n v="25"/>
    <n v="300"/>
    <n v="800"/>
    <n v="73600"/>
    <n v="27600"/>
    <n v="46000"/>
    <n v="0.625"/>
    <x v="1"/>
    <s v=""/>
    <s v=""/>
    <m/>
    <n v="71"/>
    <x v="0"/>
    <n v="7500"/>
    <n v="6771200"/>
  </r>
  <r>
    <s v="P013"/>
    <x v="12"/>
    <x v="3"/>
    <x v="3"/>
    <x v="1"/>
    <n v="227"/>
    <n v="4"/>
    <n v="223"/>
    <n v="300"/>
    <n v="800"/>
    <n v="3200"/>
    <n v="1200"/>
    <n v="2000"/>
    <n v="0.625"/>
    <x v="0"/>
    <s v=""/>
    <s v=""/>
    <m/>
    <n v="225"/>
    <x v="2"/>
    <n v="66900"/>
    <n v="12800"/>
  </r>
  <r>
    <s v="P013"/>
    <x v="12"/>
    <x v="3"/>
    <x v="3"/>
    <x v="2"/>
    <n v="180"/>
    <n v="125"/>
    <n v="55"/>
    <n v="300"/>
    <n v="800"/>
    <n v="100000"/>
    <n v="37500"/>
    <n v="62500"/>
    <n v="0.625"/>
    <x v="1"/>
    <s v=""/>
    <s v=""/>
    <m/>
    <n v="117.5"/>
    <x v="1"/>
    <n v="16500"/>
    <n v="12500000"/>
  </r>
  <r>
    <s v="P013"/>
    <x v="12"/>
    <x v="3"/>
    <x v="3"/>
    <x v="3"/>
    <n v="294"/>
    <n v="268"/>
    <n v="26"/>
    <n v="300"/>
    <n v="800"/>
    <n v="214400"/>
    <n v="80400"/>
    <n v="134000"/>
    <n v="0.625"/>
    <x v="1"/>
    <s v=""/>
    <s v=""/>
    <m/>
    <n v="160"/>
    <x v="0"/>
    <n v="7800"/>
    <n v="57459200"/>
  </r>
  <r>
    <s v="P013"/>
    <x v="12"/>
    <x v="3"/>
    <x v="3"/>
    <x v="4"/>
    <n v="237"/>
    <n v="173"/>
    <n v="64"/>
    <n v="300"/>
    <n v="800"/>
    <n v="138400"/>
    <n v="51900"/>
    <n v="86500"/>
    <n v="0.625"/>
    <x v="1"/>
    <s v=""/>
    <s v=""/>
    <m/>
    <n v="150.5"/>
    <x v="1"/>
    <n v="19200"/>
    <n v="23943200"/>
  </r>
  <r>
    <s v="P013"/>
    <x v="12"/>
    <x v="3"/>
    <x v="3"/>
    <x v="5"/>
    <n v="50"/>
    <n v="28"/>
    <n v="22"/>
    <n v="300"/>
    <n v="800"/>
    <n v="22400"/>
    <n v="8400"/>
    <n v="14000"/>
    <n v="0.625"/>
    <x v="1"/>
    <s v=""/>
    <s v=""/>
    <m/>
    <n v="36"/>
    <x v="0"/>
    <n v="6600"/>
    <n v="627200"/>
  </r>
  <r>
    <s v="P014"/>
    <x v="13"/>
    <x v="3"/>
    <x v="0"/>
    <x v="0"/>
    <n v="228"/>
    <n v="128"/>
    <n v="100"/>
    <n v="800"/>
    <n v="1500"/>
    <n v="192000"/>
    <n v="102400"/>
    <n v="89600"/>
    <n v="0.46666666666666667"/>
    <x v="1"/>
    <s v=""/>
    <s v=""/>
    <m/>
    <n v="164"/>
    <x v="1"/>
    <n v="80000"/>
    <n v="24576000"/>
  </r>
  <r>
    <s v="P014"/>
    <x v="13"/>
    <x v="3"/>
    <x v="0"/>
    <x v="1"/>
    <n v="156"/>
    <n v="70"/>
    <n v="86"/>
    <n v="800"/>
    <n v="1500"/>
    <n v="105000"/>
    <n v="56000"/>
    <n v="49000"/>
    <n v="0.46666666666666667"/>
    <x v="1"/>
    <s v=""/>
    <s v=""/>
    <m/>
    <n v="121"/>
    <x v="1"/>
    <n v="68800"/>
    <n v="7350000"/>
  </r>
  <r>
    <s v="P014"/>
    <x v="13"/>
    <x v="3"/>
    <x v="0"/>
    <x v="2"/>
    <n v="130"/>
    <n v="111"/>
    <n v="19"/>
    <n v="800"/>
    <n v="1500"/>
    <n v="166500"/>
    <n v="88800"/>
    <n v="77700"/>
    <n v="0.46666666666666667"/>
    <x v="1"/>
    <s v=""/>
    <s v=""/>
    <m/>
    <n v="74.5"/>
    <x v="0"/>
    <n v="15200"/>
    <n v="18481500"/>
  </r>
  <r>
    <s v="P014"/>
    <x v="13"/>
    <x v="3"/>
    <x v="0"/>
    <x v="3"/>
    <n v="89"/>
    <n v="11"/>
    <n v="78"/>
    <n v="800"/>
    <n v="1500"/>
    <n v="16500"/>
    <n v="8800"/>
    <n v="7700"/>
    <n v="0.46666666666666667"/>
    <x v="0"/>
    <s v=""/>
    <s v=""/>
    <m/>
    <n v="83.5"/>
    <x v="1"/>
    <n v="62400"/>
    <n v="181500"/>
  </r>
  <r>
    <s v="P014"/>
    <x v="13"/>
    <x v="3"/>
    <x v="0"/>
    <x v="4"/>
    <n v="193"/>
    <n v="110"/>
    <n v="83"/>
    <n v="800"/>
    <n v="1500"/>
    <n v="165000"/>
    <n v="88000"/>
    <n v="77000"/>
    <n v="0.46666666666666667"/>
    <x v="1"/>
    <s v=""/>
    <s v=""/>
    <m/>
    <n v="138"/>
    <x v="1"/>
    <n v="66400"/>
    <n v="18150000"/>
  </r>
  <r>
    <s v="P014"/>
    <x v="13"/>
    <x v="3"/>
    <x v="0"/>
    <x v="5"/>
    <n v="101"/>
    <n v="7"/>
    <n v="94"/>
    <n v="800"/>
    <n v="1500"/>
    <n v="10500"/>
    <n v="5600"/>
    <n v="4900"/>
    <n v="0.46666666666666667"/>
    <x v="0"/>
    <s v=""/>
    <s v=""/>
    <m/>
    <n v="97.5"/>
    <x v="1"/>
    <n v="75200"/>
    <n v="73500"/>
  </r>
  <r>
    <s v="P014"/>
    <x v="13"/>
    <x v="3"/>
    <x v="1"/>
    <x v="0"/>
    <n v="78"/>
    <n v="76"/>
    <n v="2"/>
    <n v="800"/>
    <n v="1500"/>
    <n v="114000"/>
    <n v="60800"/>
    <n v="53200"/>
    <n v="0.46666666666666667"/>
    <x v="1"/>
    <s v=""/>
    <s v=""/>
    <m/>
    <n v="40"/>
    <x v="0"/>
    <n v="1600"/>
    <n v="8664000"/>
  </r>
  <r>
    <s v="P014"/>
    <x v="13"/>
    <x v="3"/>
    <x v="1"/>
    <x v="1"/>
    <n v="293"/>
    <n v="237"/>
    <n v="56"/>
    <n v="800"/>
    <n v="1500"/>
    <n v="355500"/>
    <n v="189600"/>
    <n v="165900"/>
    <n v="0.46666666666666667"/>
    <x v="1"/>
    <s v=""/>
    <s v=""/>
    <m/>
    <n v="174.5"/>
    <x v="1"/>
    <n v="44800"/>
    <n v="84253500"/>
  </r>
  <r>
    <s v="P014"/>
    <x v="13"/>
    <x v="3"/>
    <x v="1"/>
    <x v="2"/>
    <n v="96"/>
    <n v="57"/>
    <n v="39"/>
    <n v="800"/>
    <n v="1500"/>
    <n v="85500"/>
    <n v="45600"/>
    <n v="39900"/>
    <n v="0.46666666666666667"/>
    <x v="1"/>
    <s v=""/>
    <s v=""/>
    <m/>
    <n v="67.5"/>
    <x v="0"/>
    <n v="31200"/>
    <n v="4873500"/>
  </r>
  <r>
    <s v="P014"/>
    <x v="13"/>
    <x v="3"/>
    <x v="1"/>
    <x v="3"/>
    <n v="216"/>
    <n v="39"/>
    <n v="177"/>
    <n v="800"/>
    <n v="1500"/>
    <n v="58500"/>
    <n v="31200"/>
    <n v="27300"/>
    <n v="0.46666666666666667"/>
    <x v="1"/>
    <s v=""/>
    <s v=""/>
    <m/>
    <n v="196.5"/>
    <x v="3"/>
    <n v="141600"/>
    <n v="2281500"/>
  </r>
  <r>
    <s v="P014"/>
    <x v="13"/>
    <x v="3"/>
    <x v="1"/>
    <x v="4"/>
    <n v="173"/>
    <n v="146"/>
    <n v="27"/>
    <n v="800"/>
    <n v="1500"/>
    <n v="219000"/>
    <n v="116800"/>
    <n v="102200"/>
    <n v="0.46666666666666667"/>
    <x v="1"/>
    <s v=""/>
    <s v=""/>
    <m/>
    <n v="100"/>
    <x v="0"/>
    <n v="21600"/>
    <n v="31974000"/>
  </r>
  <r>
    <s v="P014"/>
    <x v="13"/>
    <x v="3"/>
    <x v="1"/>
    <x v="5"/>
    <n v="183"/>
    <n v="131"/>
    <n v="52"/>
    <n v="800"/>
    <n v="1500"/>
    <n v="196500"/>
    <n v="104800"/>
    <n v="91700"/>
    <n v="0.46666666666666667"/>
    <x v="1"/>
    <s v=""/>
    <s v=""/>
    <m/>
    <n v="117.5"/>
    <x v="1"/>
    <n v="41600"/>
    <n v="25741500"/>
  </r>
  <r>
    <s v="P014"/>
    <x v="13"/>
    <x v="3"/>
    <x v="2"/>
    <x v="0"/>
    <n v="173"/>
    <n v="75"/>
    <n v="98"/>
    <n v="800"/>
    <n v="1500"/>
    <n v="112500"/>
    <n v="60000"/>
    <n v="52500"/>
    <n v="0.46666666666666667"/>
    <x v="1"/>
    <s v=""/>
    <s v=""/>
    <m/>
    <n v="135.5"/>
    <x v="1"/>
    <n v="78400"/>
    <n v="8437500"/>
  </r>
  <r>
    <s v="P014"/>
    <x v="13"/>
    <x v="3"/>
    <x v="2"/>
    <x v="1"/>
    <n v="168"/>
    <n v="88"/>
    <n v="80"/>
    <n v="800"/>
    <n v="1500"/>
    <n v="132000"/>
    <n v="70400"/>
    <n v="61600"/>
    <n v="0.46666666666666667"/>
    <x v="1"/>
    <s v=""/>
    <s v=""/>
    <m/>
    <n v="124"/>
    <x v="1"/>
    <n v="64000"/>
    <n v="11616000"/>
  </r>
  <r>
    <s v="P014"/>
    <x v="13"/>
    <x v="3"/>
    <x v="2"/>
    <x v="2"/>
    <n v="273"/>
    <n v="254"/>
    <n v="19"/>
    <n v="800"/>
    <n v="1500"/>
    <n v="381000"/>
    <n v="203200"/>
    <n v="177800"/>
    <n v="0.46666666666666667"/>
    <x v="1"/>
    <s v=""/>
    <s v=""/>
    <m/>
    <n v="146"/>
    <x v="0"/>
    <n v="15200"/>
    <n v="96774000"/>
  </r>
  <r>
    <s v="P014"/>
    <x v="13"/>
    <x v="3"/>
    <x v="2"/>
    <x v="3"/>
    <n v="278"/>
    <n v="133"/>
    <n v="145"/>
    <n v="800"/>
    <n v="1500"/>
    <n v="199500"/>
    <n v="106400"/>
    <n v="93100"/>
    <n v="0.46666666666666667"/>
    <x v="1"/>
    <s v=""/>
    <s v=""/>
    <m/>
    <n v="211.5"/>
    <x v="3"/>
    <n v="116000"/>
    <n v="26533500"/>
  </r>
  <r>
    <s v="P014"/>
    <x v="13"/>
    <x v="3"/>
    <x v="2"/>
    <x v="4"/>
    <n v="209"/>
    <n v="108"/>
    <n v="101"/>
    <n v="800"/>
    <n v="1500"/>
    <n v="162000"/>
    <n v="86400"/>
    <n v="75600"/>
    <n v="0.46666666666666667"/>
    <x v="1"/>
    <s v=""/>
    <s v=""/>
    <m/>
    <n v="155"/>
    <x v="3"/>
    <n v="80800"/>
    <n v="17496000"/>
  </r>
  <r>
    <s v="P014"/>
    <x v="13"/>
    <x v="3"/>
    <x v="2"/>
    <x v="5"/>
    <n v="86"/>
    <n v="6"/>
    <n v="80"/>
    <n v="800"/>
    <n v="1500"/>
    <n v="9000"/>
    <n v="4800"/>
    <n v="4200"/>
    <n v="0.46666666666666667"/>
    <x v="0"/>
    <s v=""/>
    <s v=""/>
    <m/>
    <n v="83"/>
    <x v="1"/>
    <n v="64000"/>
    <n v="54000"/>
  </r>
  <r>
    <s v="P014"/>
    <x v="13"/>
    <x v="3"/>
    <x v="3"/>
    <x v="0"/>
    <n v="66"/>
    <n v="59"/>
    <n v="7"/>
    <n v="800"/>
    <n v="1500"/>
    <n v="88500"/>
    <n v="47200"/>
    <n v="41300"/>
    <n v="0.46666666666666667"/>
    <x v="1"/>
    <s v=""/>
    <s v=""/>
    <m/>
    <n v="36.5"/>
    <x v="0"/>
    <n v="5600"/>
    <n v="5221500"/>
  </r>
  <r>
    <s v="P014"/>
    <x v="13"/>
    <x v="3"/>
    <x v="3"/>
    <x v="1"/>
    <n v="86"/>
    <n v="42"/>
    <n v="44"/>
    <n v="800"/>
    <n v="1500"/>
    <n v="63000"/>
    <n v="33600"/>
    <n v="29400"/>
    <n v="0.46666666666666667"/>
    <x v="1"/>
    <s v=""/>
    <s v=""/>
    <m/>
    <n v="65"/>
    <x v="0"/>
    <n v="35200"/>
    <n v="2646000"/>
  </r>
  <r>
    <s v="P014"/>
    <x v="13"/>
    <x v="3"/>
    <x v="3"/>
    <x v="2"/>
    <n v="265"/>
    <n v="211"/>
    <n v="54"/>
    <n v="800"/>
    <n v="1500"/>
    <n v="316500"/>
    <n v="168800"/>
    <n v="147700"/>
    <n v="0.46666666666666667"/>
    <x v="1"/>
    <s v=""/>
    <s v=""/>
    <m/>
    <n v="159.5"/>
    <x v="1"/>
    <n v="43200"/>
    <n v="66781500"/>
  </r>
  <r>
    <s v="P014"/>
    <x v="13"/>
    <x v="3"/>
    <x v="3"/>
    <x v="3"/>
    <n v="269"/>
    <n v="196"/>
    <n v="73"/>
    <n v="800"/>
    <n v="1500"/>
    <n v="294000"/>
    <n v="156800"/>
    <n v="137200"/>
    <n v="0.46666666666666667"/>
    <x v="1"/>
    <s v=""/>
    <s v=""/>
    <m/>
    <n v="171"/>
    <x v="1"/>
    <n v="58400"/>
    <n v="57624000"/>
  </r>
  <r>
    <s v="P014"/>
    <x v="13"/>
    <x v="3"/>
    <x v="3"/>
    <x v="4"/>
    <n v="213"/>
    <n v="149"/>
    <n v="64"/>
    <n v="800"/>
    <n v="1500"/>
    <n v="223500"/>
    <n v="119200"/>
    <n v="104300"/>
    <n v="0.46666666666666667"/>
    <x v="1"/>
    <s v=""/>
    <s v=""/>
    <m/>
    <n v="138.5"/>
    <x v="1"/>
    <n v="51200"/>
    <n v="33301500"/>
  </r>
  <r>
    <s v="P014"/>
    <x v="13"/>
    <x v="3"/>
    <x v="3"/>
    <x v="5"/>
    <n v="233"/>
    <n v="167"/>
    <n v="66"/>
    <n v="800"/>
    <n v="1500"/>
    <n v="250500"/>
    <n v="133600"/>
    <n v="116900"/>
    <n v="0.46666666666666667"/>
    <x v="1"/>
    <s v=""/>
    <s v=""/>
    <m/>
    <n v="149.5"/>
    <x v="1"/>
    <n v="52800"/>
    <n v="41833500"/>
  </r>
  <r>
    <s v="P015"/>
    <x v="14"/>
    <x v="3"/>
    <x v="0"/>
    <x v="0"/>
    <n v="135"/>
    <n v="3"/>
    <n v="132"/>
    <n v="1500"/>
    <n v="2500"/>
    <n v="7500"/>
    <n v="4500"/>
    <n v="3000"/>
    <n v="0.4"/>
    <x v="0"/>
    <s v=""/>
    <s v=""/>
    <m/>
    <n v="133.5"/>
    <x v="3"/>
    <n v="198000"/>
    <n v="22500"/>
  </r>
  <r>
    <s v="P015"/>
    <x v="14"/>
    <x v="3"/>
    <x v="0"/>
    <x v="1"/>
    <n v="112"/>
    <n v="20"/>
    <n v="92"/>
    <n v="1500"/>
    <n v="2500"/>
    <n v="50000"/>
    <n v="30000"/>
    <n v="20000"/>
    <n v="0.4"/>
    <x v="1"/>
    <s v=""/>
    <s v=""/>
    <m/>
    <n v="102"/>
    <x v="1"/>
    <n v="138000"/>
    <n v="1000000"/>
  </r>
  <r>
    <s v="P015"/>
    <x v="14"/>
    <x v="3"/>
    <x v="0"/>
    <x v="2"/>
    <n v="87"/>
    <n v="66"/>
    <n v="21"/>
    <n v="1500"/>
    <n v="2500"/>
    <n v="165000"/>
    <n v="99000"/>
    <n v="66000"/>
    <n v="0.4"/>
    <x v="1"/>
    <s v=""/>
    <s v=""/>
    <m/>
    <n v="54"/>
    <x v="0"/>
    <n v="31500"/>
    <n v="10890000"/>
  </r>
  <r>
    <s v="P015"/>
    <x v="14"/>
    <x v="3"/>
    <x v="0"/>
    <x v="3"/>
    <n v="217"/>
    <n v="200"/>
    <n v="17"/>
    <n v="1500"/>
    <n v="2500"/>
    <n v="500000"/>
    <n v="300000"/>
    <n v="200000"/>
    <n v="0.4"/>
    <x v="1"/>
    <s v=""/>
    <s v=""/>
    <m/>
    <n v="117"/>
    <x v="0"/>
    <n v="25500"/>
    <n v="100000000"/>
  </r>
  <r>
    <s v="P015"/>
    <x v="14"/>
    <x v="3"/>
    <x v="0"/>
    <x v="4"/>
    <n v="80"/>
    <n v="37"/>
    <n v="43"/>
    <n v="1500"/>
    <n v="2500"/>
    <n v="92500"/>
    <n v="55500"/>
    <n v="37000"/>
    <n v="0.4"/>
    <x v="1"/>
    <s v=""/>
    <s v=""/>
    <m/>
    <n v="61.5"/>
    <x v="0"/>
    <n v="64500"/>
    <n v="3422500"/>
  </r>
  <r>
    <s v="P015"/>
    <x v="14"/>
    <x v="3"/>
    <x v="0"/>
    <x v="5"/>
    <n v="74"/>
    <n v="63"/>
    <n v="11"/>
    <n v="1500"/>
    <n v="2500"/>
    <n v="157500"/>
    <n v="94500"/>
    <n v="63000"/>
    <n v="0.4"/>
    <x v="1"/>
    <s v=""/>
    <s v=""/>
    <m/>
    <n v="42.5"/>
    <x v="0"/>
    <n v="16500"/>
    <n v="9922500"/>
  </r>
  <r>
    <s v="P015"/>
    <x v="14"/>
    <x v="3"/>
    <x v="1"/>
    <x v="0"/>
    <n v="294"/>
    <n v="252"/>
    <n v="42"/>
    <n v="1500"/>
    <n v="2500"/>
    <n v="630000"/>
    <n v="378000"/>
    <n v="252000"/>
    <n v="0.4"/>
    <x v="1"/>
    <s v=""/>
    <s v=""/>
    <m/>
    <n v="168"/>
    <x v="0"/>
    <n v="63000"/>
    <n v="158760000"/>
  </r>
  <r>
    <s v="P015"/>
    <x v="14"/>
    <x v="3"/>
    <x v="1"/>
    <x v="1"/>
    <n v="294"/>
    <n v="280"/>
    <n v="14"/>
    <n v="1500"/>
    <n v="2500"/>
    <n v="700000"/>
    <n v="420000"/>
    <n v="280000"/>
    <n v="0.4"/>
    <x v="1"/>
    <s v=""/>
    <s v=""/>
    <m/>
    <n v="154"/>
    <x v="0"/>
    <n v="21000"/>
    <n v="196000000"/>
  </r>
  <r>
    <s v="P015"/>
    <x v="14"/>
    <x v="3"/>
    <x v="1"/>
    <x v="2"/>
    <n v="162"/>
    <n v="160"/>
    <n v="2"/>
    <n v="1500"/>
    <n v="2500"/>
    <n v="400000"/>
    <n v="240000"/>
    <n v="160000"/>
    <n v="0.4"/>
    <x v="1"/>
    <s v=""/>
    <s v=""/>
    <m/>
    <n v="82"/>
    <x v="0"/>
    <n v="3000"/>
    <n v="64000000"/>
  </r>
  <r>
    <s v="P015"/>
    <x v="14"/>
    <x v="3"/>
    <x v="1"/>
    <x v="3"/>
    <n v="58"/>
    <n v="45"/>
    <n v="13"/>
    <n v="1500"/>
    <n v="2500"/>
    <n v="112500"/>
    <n v="67500"/>
    <n v="45000"/>
    <n v="0.4"/>
    <x v="1"/>
    <s v=""/>
    <s v=""/>
    <m/>
    <n v="35.5"/>
    <x v="0"/>
    <n v="19500"/>
    <n v="5062500"/>
  </r>
  <r>
    <s v="P015"/>
    <x v="14"/>
    <x v="3"/>
    <x v="1"/>
    <x v="4"/>
    <n v="64"/>
    <n v="39"/>
    <n v="25"/>
    <n v="1500"/>
    <n v="2500"/>
    <n v="97500"/>
    <n v="58500"/>
    <n v="39000"/>
    <n v="0.4"/>
    <x v="1"/>
    <s v=""/>
    <s v=""/>
    <m/>
    <n v="44.5"/>
    <x v="0"/>
    <n v="37500"/>
    <n v="3802500"/>
  </r>
  <r>
    <s v="P015"/>
    <x v="14"/>
    <x v="3"/>
    <x v="1"/>
    <x v="5"/>
    <n v="212"/>
    <n v="212"/>
    <n v="0"/>
    <n v="1500"/>
    <n v="2500"/>
    <n v="530000"/>
    <n v="318000"/>
    <n v="212000"/>
    <n v="0.4"/>
    <x v="1"/>
    <s v=""/>
    <s v=""/>
    <m/>
    <n v="106"/>
    <x v="0"/>
    <n v="0"/>
    <n v="112360000"/>
  </r>
  <r>
    <s v="P015"/>
    <x v="14"/>
    <x v="3"/>
    <x v="2"/>
    <x v="0"/>
    <n v="70"/>
    <n v="27"/>
    <n v="43"/>
    <n v="1500"/>
    <n v="2500"/>
    <n v="67500"/>
    <n v="40500"/>
    <n v="27000"/>
    <n v="0.4"/>
    <x v="1"/>
    <s v=""/>
    <s v=""/>
    <m/>
    <n v="56.5"/>
    <x v="0"/>
    <n v="64500"/>
    <n v="1822500"/>
  </r>
  <r>
    <s v="P015"/>
    <x v="14"/>
    <x v="3"/>
    <x v="2"/>
    <x v="1"/>
    <n v="61"/>
    <n v="20"/>
    <n v="41"/>
    <n v="1500"/>
    <n v="2500"/>
    <n v="50000"/>
    <n v="30000"/>
    <n v="20000"/>
    <n v="0.4"/>
    <x v="1"/>
    <s v=""/>
    <s v=""/>
    <m/>
    <n v="51"/>
    <x v="0"/>
    <n v="61500"/>
    <n v="1000000"/>
  </r>
  <r>
    <s v="P015"/>
    <x v="14"/>
    <x v="3"/>
    <x v="2"/>
    <x v="2"/>
    <n v="300"/>
    <n v="64"/>
    <n v="236"/>
    <n v="1500"/>
    <n v="2500"/>
    <n v="160000"/>
    <n v="96000"/>
    <n v="64000"/>
    <n v="0.4"/>
    <x v="1"/>
    <s v=""/>
    <s v=""/>
    <m/>
    <n v="268"/>
    <x v="2"/>
    <n v="354000"/>
    <n v="10240000"/>
  </r>
  <r>
    <s v="P015"/>
    <x v="14"/>
    <x v="3"/>
    <x v="2"/>
    <x v="3"/>
    <n v="269"/>
    <n v="180"/>
    <n v="89"/>
    <n v="1500"/>
    <n v="2500"/>
    <n v="450000"/>
    <n v="270000"/>
    <n v="180000"/>
    <n v="0.4"/>
    <x v="1"/>
    <s v=""/>
    <s v=""/>
    <m/>
    <n v="179"/>
    <x v="1"/>
    <n v="133500"/>
    <n v="81000000"/>
  </r>
  <r>
    <s v="P015"/>
    <x v="14"/>
    <x v="3"/>
    <x v="2"/>
    <x v="4"/>
    <n v="139"/>
    <n v="89"/>
    <n v="50"/>
    <n v="1500"/>
    <n v="2500"/>
    <n v="222500"/>
    <n v="133500"/>
    <n v="89000"/>
    <n v="0.4"/>
    <x v="1"/>
    <s v=""/>
    <s v=""/>
    <m/>
    <n v="94.5"/>
    <x v="0"/>
    <n v="75000"/>
    <n v="19802500"/>
  </r>
  <r>
    <s v="P015"/>
    <x v="14"/>
    <x v="3"/>
    <x v="2"/>
    <x v="5"/>
    <n v="152"/>
    <n v="3"/>
    <n v="149"/>
    <n v="1500"/>
    <n v="2500"/>
    <n v="7500"/>
    <n v="4500"/>
    <n v="3000"/>
    <n v="0.4"/>
    <x v="0"/>
    <s v=""/>
    <s v=""/>
    <m/>
    <n v="150.5"/>
    <x v="3"/>
    <n v="223500"/>
    <n v="22500"/>
  </r>
  <r>
    <s v="P015"/>
    <x v="14"/>
    <x v="3"/>
    <x v="3"/>
    <x v="0"/>
    <n v="101"/>
    <n v="34"/>
    <n v="67"/>
    <n v="1500"/>
    <n v="2500"/>
    <n v="85000"/>
    <n v="51000"/>
    <n v="34000"/>
    <n v="0.4"/>
    <x v="1"/>
    <s v=""/>
    <s v=""/>
    <m/>
    <n v="84"/>
    <x v="1"/>
    <n v="100500"/>
    <n v="2890000"/>
  </r>
  <r>
    <s v="P015"/>
    <x v="14"/>
    <x v="3"/>
    <x v="3"/>
    <x v="1"/>
    <n v="233"/>
    <n v="185"/>
    <n v="48"/>
    <n v="1500"/>
    <n v="2500"/>
    <n v="462500"/>
    <n v="277500"/>
    <n v="185000"/>
    <n v="0.4"/>
    <x v="1"/>
    <s v=""/>
    <s v=""/>
    <m/>
    <n v="140.5"/>
    <x v="0"/>
    <n v="72000"/>
    <n v="85562500"/>
  </r>
  <r>
    <s v="P015"/>
    <x v="14"/>
    <x v="3"/>
    <x v="3"/>
    <x v="2"/>
    <n v="62"/>
    <n v="42"/>
    <n v="20"/>
    <n v="1500"/>
    <n v="2500"/>
    <n v="105000"/>
    <n v="63000"/>
    <n v="42000"/>
    <n v="0.4"/>
    <x v="1"/>
    <s v=""/>
    <s v=""/>
    <m/>
    <n v="41"/>
    <x v="0"/>
    <n v="30000"/>
    <n v="4410000"/>
  </r>
  <r>
    <s v="P015"/>
    <x v="14"/>
    <x v="3"/>
    <x v="3"/>
    <x v="3"/>
    <n v="76"/>
    <n v="45"/>
    <n v="31"/>
    <n v="1500"/>
    <n v="2500"/>
    <n v="112500"/>
    <n v="67500"/>
    <n v="45000"/>
    <n v="0.4"/>
    <x v="1"/>
    <s v=""/>
    <s v=""/>
    <m/>
    <n v="53.5"/>
    <x v="0"/>
    <n v="46500"/>
    <n v="5062500"/>
  </r>
  <r>
    <s v="P015"/>
    <x v="14"/>
    <x v="3"/>
    <x v="3"/>
    <x v="4"/>
    <n v="91"/>
    <n v="41"/>
    <n v="50"/>
    <n v="1500"/>
    <n v="2500"/>
    <n v="102500"/>
    <n v="61500"/>
    <n v="41000"/>
    <n v="0.4"/>
    <x v="1"/>
    <s v=""/>
    <s v=""/>
    <m/>
    <n v="70.5"/>
    <x v="0"/>
    <n v="75000"/>
    <n v="4202500"/>
  </r>
  <r>
    <s v="P015"/>
    <x v="14"/>
    <x v="3"/>
    <x v="3"/>
    <x v="5"/>
    <n v="168"/>
    <n v="21"/>
    <n v="147"/>
    <n v="1500"/>
    <n v="2500"/>
    <n v="52500"/>
    <n v="31500"/>
    <n v="21000"/>
    <n v="0.4"/>
    <x v="1"/>
    <s v=""/>
    <s v=""/>
    <m/>
    <n v="157.5"/>
    <x v="3"/>
    <n v="220500"/>
    <n v="1102500"/>
  </r>
  <r>
    <s v="P016"/>
    <x v="15"/>
    <x v="3"/>
    <x v="0"/>
    <x v="0"/>
    <n v="93"/>
    <n v="90"/>
    <n v="3"/>
    <n v="400"/>
    <n v="900"/>
    <n v="81000"/>
    <n v="36000"/>
    <n v="45000"/>
    <n v="0.55555555555555558"/>
    <x v="1"/>
    <s v=""/>
    <s v=""/>
    <m/>
    <n v="48"/>
    <x v="0"/>
    <n v="1200"/>
    <n v="7290000"/>
  </r>
  <r>
    <s v="P016"/>
    <x v="15"/>
    <x v="3"/>
    <x v="0"/>
    <x v="1"/>
    <n v="83"/>
    <n v="72"/>
    <n v="11"/>
    <n v="400"/>
    <n v="900"/>
    <n v="64800"/>
    <n v="28800"/>
    <n v="36000"/>
    <n v="0.55555555555555558"/>
    <x v="1"/>
    <s v=""/>
    <s v=""/>
    <m/>
    <n v="47"/>
    <x v="0"/>
    <n v="4400"/>
    <n v="4665600"/>
  </r>
  <r>
    <s v="P016"/>
    <x v="15"/>
    <x v="3"/>
    <x v="0"/>
    <x v="2"/>
    <n v="92"/>
    <n v="10"/>
    <n v="82"/>
    <n v="400"/>
    <n v="900"/>
    <n v="9000"/>
    <n v="4000"/>
    <n v="5000"/>
    <n v="0.55555555555555558"/>
    <x v="0"/>
    <s v=""/>
    <s v=""/>
    <m/>
    <n v="87"/>
    <x v="1"/>
    <n v="32800"/>
    <n v="90000"/>
  </r>
  <r>
    <s v="P016"/>
    <x v="15"/>
    <x v="3"/>
    <x v="0"/>
    <x v="3"/>
    <n v="272"/>
    <n v="174"/>
    <n v="98"/>
    <n v="400"/>
    <n v="900"/>
    <n v="156600"/>
    <n v="69600"/>
    <n v="87000"/>
    <n v="0.55555555555555558"/>
    <x v="1"/>
    <s v=""/>
    <s v=""/>
    <m/>
    <n v="185"/>
    <x v="1"/>
    <n v="39200"/>
    <n v="27248400"/>
  </r>
  <r>
    <s v="P016"/>
    <x v="15"/>
    <x v="3"/>
    <x v="0"/>
    <x v="4"/>
    <n v="227"/>
    <n v="163"/>
    <n v="64"/>
    <n v="400"/>
    <n v="900"/>
    <n v="146700"/>
    <n v="65200"/>
    <n v="81500"/>
    <n v="0.55555555555555558"/>
    <x v="1"/>
    <s v=""/>
    <s v=""/>
    <m/>
    <n v="145.5"/>
    <x v="1"/>
    <n v="25600"/>
    <n v="23912100"/>
  </r>
  <r>
    <s v="P016"/>
    <x v="15"/>
    <x v="3"/>
    <x v="0"/>
    <x v="5"/>
    <n v="76"/>
    <n v="14"/>
    <n v="62"/>
    <n v="400"/>
    <n v="900"/>
    <n v="12600"/>
    <n v="5600"/>
    <n v="7000"/>
    <n v="0.55555555555555558"/>
    <x v="0"/>
    <s v=""/>
    <s v=""/>
    <m/>
    <n v="69"/>
    <x v="1"/>
    <n v="24800"/>
    <n v="176400"/>
  </r>
  <r>
    <s v="P016"/>
    <x v="15"/>
    <x v="3"/>
    <x v="1"/>
    <x v="0"/>
    <n v="100"/>
    <n v="51"/>
    <n v="49"/>
    <n v="400"/>
    <n v="900"/>
    <n v="45900"/>
    <n v="20400"/>
    <n v="25500"/>
    <n v="0.55555555555555558"/>
    <x v="1"/>
    <s v=""/>
    <s v=""/>
    <m/>
    <n v="74.5"/>
    <x v="0"/>
    <n v="19600"/>
    <n v="2340900"/>
  </r>
  <r>
    <s v="P016"/>
    <x v="15"/>
    <x v="3"/>
    <x v="1"/>
    <x v="1"/>
    <n v="249"/>
    <n v="22"/>
    <n v="227"/>
    <n v="400"/>
    <n v="900"/>
    <n v="19800"/>
    <n v="8800"/>
    <n v="11000"/>
    <n v="0.55555555555555558"/>
    <x v="1"/>
    <s v=""/>
    <s v=""/>
    <m/>
    <n v="238"/>
    <x v="2"/>
    <n v="90800"/>
    <n v="435600"/>
  </r>
  <r>
    <s v="P016"/>
    <x v="15"/>
    <x v="3"/>
    <x v="1"/>
    <x v="2"/>
    <n v="88"/>
    <n v="60"/>
    <n v="28"/>
    <n v="400"/>
    <n v="900"/>
    <n v="54000"/>
    <n v="24000"/>
    <n v="30000"/>
    <n v="0.55555555555555558"/>
    <x v="1"/>
    <s v=""/>
    <s v=""/>
    <m/>
    <n v="58"/>
    <x v="0"/>
    <n v="11200"/>
    <n v="3240000"/>
  </r>
  <r>
    <s v="P016"/>
    <x v="15"/>
    <x v="3"/>
    <x v="1"/>
    <x v="3"/>
    <n v="298"/>
    <n v="135"/>
    <n v="163"/>
    <n v="400"/>
    <n v="900"/>
    <n v="121500"/>
    <n v="54000"/>
    <n v="67500"/>
    <n v="0.55555555555555558"/>
    <x v="1"/>
    <s v=""/>
    <s v=""/>
    <m/>
    <n v="230.5"/>
    <x v="3"/>
    <n v="65200"/>
    <n v="16402500"/>
  </r>
  <r>
    <s v="P016"/>
    <x v="15"/>
    <x v="3"/>
    <x v="1"/>
    <x v="4"/>
    <n v="246"/>
    <n v="210"/>
    <n v="36"/>
    <n v="400"/>
    <n v="900"/>
    <n v="189000"/>
    <n v="84000"/>
    <n v="105000"/>
    <n v="0.55555555555555558"/>
    <x v="1"/>
    <s v=""/>
    <s v=""/>
    <m/>
    <n v="141"/>
    <x v="0"/>
    <n v="14400"/>
    <n v="39690000"/>
  </r>
  <r>
    <s v="P016"/>
    <x v="15"/>
    <x v="3"/>
    <x v="1"/>
    <x v="5"/>
    <n v="168"/>
    <n v="135"/>
    <n v="33"/>
    <n v="400"/>
    <n v="900"/>
    <n v="121500"/>
    <n v="54000"/>
    <n v="67500"/>
    <n v="0.55555555555555558"/>
    <x v="1"/>
    <s v=""/>
    <s v=""/>
    <m/>
    <n v="100.5"/>
    <x v="0"/>
    <n v="13200"/>
    <n v="16402500"/>
  </r>
  <r>
    <s v="P016"/>
    <x v="15"/>
    <x v="3"/>
    <x v="2"/>
    <x v="0"/>
    <n v="256"/>
    <n v="223"/>
    <n v="33"/>
    <n v="400"/>
    <n v="900"/>
    <n v="200700"/>
    <n v="89200"/>
    <n v="111500"/>
    <n v="0.55555555555555558"/>
    <x v="1"/>
    <s v=""/>
    <s v=""/>
    <m/>
    <n v="144.5"/>
    <x v="0"/>
    <n v="13200"/>
    <n v="44756100"/>
  </r>
  <r>
    <s v="P016"/>
    <x v="15"/>
    <x v="3"/>
    <x v="2"/>
    <x v="1"/>
    <n v="190"/>
    <n v="182"/>
    <n v="8"/>
    <n v="400"/>
    <n v="900"/>
    <n v="163800"/>
    <n v="72800"/>
    <n v="91000"/>
    <n v="0.55555555555555558"/>
    <x v="1"/>
    <s v=""/>
    <s v=""/>
    <m/>
    <n v="99"/>
    <x v="0"/>
    <n v="3200"/>
    <n v="29811600"/>
  </r>
  <r>
    <s v="P016"/>
    <x v="15"/>
    <x v="3"/>
    <x v="2"/>
    <x v="2"/>
    <n v="222"/>
    <n v="33"/>
    <n v="189"/>
    <n v="400"/>
    <n v="900"/>
    <n v="29700"/>
    <n v="13200"/>
    <n v="16500"/>
    <n v="0.55555555555555558"/>
    <x v="1"/>
    <s v=""/>
    <s v=""/>
    <m/>
    <n v="205.5"/>
    <x v="3"/>
    <n v="75600"/>
    <n v="980100"/>
  </r>
  <r>
    <s v="P016"/>
    <x v="15"/>
    <x v="3"/>
    <x v="2"/>
    <x v="3"/>
    <n v="283"/>
    <n v="83"/>
    <n v="200"/>
    <n v="400"/>
    <n v="900"/>
    <n v="74700"/>
    <n v="33200"/>
    <n v="41500"/>
    <n v="0.55555555555555558"/>
    <x v="1"/>
    <s v=""/>
    <s v=""/>
    <m/>
    <n v="241.5"/>
    <x v="3"/>
    <n v="80000"/>
    <n v="6200100"/>
  </r>
  <r>
    <s v="P016"/>
    <x v="15"/>
    <x v="3"/>
    <x v="2"/>
    <x v="4"/>
    <n v="95"/>
    <n v="92"/>
    <n v="3"/>
    <n v="400"/>
    <n v="900"/>
    <n v="82800"/>
    <n v="36800"/>
    <n v="46000"/>
    <n v="0.55555555555555558"/>
    <x v="1"/>
    <s v=""/>
    <s v=""/>
    <m/>
    <n v="49"/>
    <x v="0"/>
    <n v="1200"/>
    <n v="7617600"/>
  </r>
  <r>
    <s v="P016"/>
    <x v="15"/>
    <x v="3"/>
    <x v="2"/>
    <x v="5"/>
    <n v="284"/>
    <n v="235"/>
    <n v="49"/>
    <n v="400"/>
    <n v="900"/>
    <n v="211500"/>
    <n v="94000"/>
    <n v="117500"/>
    <n v="0.55555555555555558"/>
    <x v="1"/>
    <s v=""/>
    <s v=""/>
    <m/>
    <n v="166.5"/>
    <x v="0"/>
    <n v="19600"/>
    <n v="49702500"/>
  </r>
  <r>
    <s v="P016"/>
    <x v="15"/>
    <x v="3"/>
    <x v="3"/>
    <x v="0"/>
    <n v="133"/>
    <n v="38"/>
    <n v="95"/>
    <n v="400"/>
    <n v="900"/>
    <n v="34200"/>
    <n v="15200"/>
    <n v="19000"/>
    <n v="0.55555555555555558"/>
    <x v="1"/>
    <s v=""/>
    <s v=""/>
    <m/>
    <n v="114"/>
    <x v="1"/>
    <n v="38000"/>
    <n v="1299600"/>
  </r>
  <r>
    <s v="P016"/>
    <x v="15"/>
    <x v="3"/>
    <x v="3"/>
    <x v="1"/>
    <n v="127"/>
    <n v="79"/>
    <n v="48"/>
    <n v="400"/>
    <n v="900"/>
    <n v="71100"/>
    <n v="31600"/>
    <n v="39500"/>
    <n v="0.55555555555555558"/>
    <x v="1"/>
    <s v=""/>
    <s v=""/>
    <m/>
    <n v="87.5"/>
    <x v="0"/>
    <n v="19200"/>
    <n v="5616900"/>
  </r>
  <r>
    <s v="P016"/>
    <x v="15"/>
    <x v="3"/>
    <x v="3"/>
    <x v="2"/>
    <n v="289"/>
    <n v="170"/>
    <n v="119"/>
    <n v="400"/>
    <n v="900"/>
    <n v="153000"/>
    <n v="68000"/>
    <n v="85000"/>
    <n v="0.55555555555555558"/>
    <x v="1"/>
    <s v=""/>
    <s v=""/>
    <m/>
    <n v="204"/>
    <x v="3"/>
    <n v="47600"/>
    <n v="26010000"/>
  </r>
  <r>
    <s v="P016"/>
    <x v="15"/>
    <x v="3"/>
    <x v="3"/>
    <x v="3"/>
    <n v="142"/>
    <n v="47"/>
    <n v="95"/>
    <n v="400"/>
    <n v="900"/>
    <n v="42300"/>
    <n v="18800"/>
    <n v="23500"/>
    <n v="0.55555555555555558"/>
    <x v="1"/>
    <s v=""/>
    <s v=""/>
    <m/>
    <n v="118.5"/>
    <x v="1"/>
    <n v="38000"/>
    <n v="1988100"/>
  </r>
  <r>
    <s v="P016"/>
    <x v="15"/>
    <x v="3"/>
    <x v="3"/>
    <x v="4"/>
    <n v="272"/>
    <n v="137"/>
    <n v="135"/>
    <n v="400"/>
    <n v="900"/>
    <n v="123300"/>
    <n v="54800"/>
    <n v="68500"/>
    <n v="0.55555555555555558"/>
    <x v="1"/>
    <s v=""/>
    <s v=""/>
    <m/>
    <n v="203.5"/>
    <x v="3"/>
    <n v="54000"/>
    <n v="16892100"/>
  </r>
  <r>
    <s v="P016"/>
    <x v="15"/>
    <x v="3"/>
    <x v="3"/>
    <x v="5"/>
    <n v="73"/>
    <n v="57"/>
    <n v="16"/>
    <n v="400"/>
    <n v="900"/>
    <n v="51300"/>
    <n v="22800"/>
    <n v="28500"/>
    <n v="0.55555555555555558"/>
    <x v="1"/>
    <s v=""/>
    <s v=""/>
    <m/>
    <n v="44.5"/>
    <x v="0"/>
    <n v="6400"/>
    <n v="2924100"/>
  </r>
  <r>
    <s v="P017"/>
    <x v="16"/>
    <x v="4"/>
    <x v="0"/>
    <x v="0"/>
    <n v="93"/>
    <n v="82"/>
    <n v="11"/>
    <n v="200"/>
    <n v="500"/>
    <n v="41000"/>
    <n v="16400"/>
    <n v="24600"/>
    <n v="0.6"/>
    <x v="1"/>
    <s v=""/>
    <s v=""/>
    <m/>
    <n v="52"/>
    <x v="0"/>
    <n v="2200"/>
    <n v="3362000"/>
  </r>
  <r>
    <s v="P017"/>
    <x v="16"/>
    <x v="4"/>
    <x v="0"/>
    <x v="1"/>
    <n v="64"/>
    <n v="34"/>
    <n v="30"/>
    <n v="200"/>
    <n v="500"/>
    <n v="17000"/>
    <n v="6800"/>
    <n v="10200"/>
    <n v="0.6"/>
    <x v="1"/>
    <s v=""/>
    <s v=""/>
    <m/>
    <n v="47"/>
    <x v="0"/>
    <n v="6000"/>
    <n v="578000"/>
  </r>
  <r>
    <s v="P017"/>
    <x v="16"/>
    <x v="4"/>
    <x v="0"/>
    <x v="2"/>
    <n v="83"/>
    <n v="63"/>
    <n v="20"/>
    <n v="200"/>
    <n v="500"/>
    <n v="31500"/>
    <n v="12600"/>
    <n v="18900"/>
    <n v="0.6"/>
    <x v="1"/>
    <s v=""/>
    <s v=""/>
    <m/>
    <n v="51.5"/>
    <x v="0"/>
    <n v="4000"/>
    <n v="1984500"/>
  </r>
  <r>
    <s v="P017"/>
    <x v="16"/>
    <x v="4"/>
    <x v="0"/>
    <x v="3"/>
    <n v="188"/>
    <n v="155"/>
    <n v="33"/>
    <n v="200"/>
    <n v="500"/>
    <n v="77500"/>
    <n v="31000"/>
    <n v="46500"/>
    <n v="0.6"/>
    <x v="1"/>
    <s v=""/>
    <s v=""/>
    <m/>
    <n v="110.5"/>
    <x v="0"/>
    <n v="6600"/>
    <n v="12012500"/>
  </r>
  <r>
    <s v="P017"/>
    <x v="16"/>
    <x v="4"/>
    <x v="0"/>
    <x v="4"/>
    <n v="51"/>
    <n v="28"/>
    <n v="23"/>
    <n v="200"/>
    <n v="500"/>
    <n v="14000"/>
    <n v="5600"/>
    <n v="8400"/>
    <n v="0.6"/>
    <x v="1"/>
    <s v=""/>
    <s v=""/>
    <m/>
    <n v="37"/>
    <x v="0"/>
    <n v="4600"/>
    <n v="392000"/>
  </r>
  <r>
    <s v="P017"/>
    <x v="16"/>
    <x v="4"/>
    <x v="0"/>
    <x v="5"/>
    <n v="109"/>
    <n v="1"/>
    <n v="108"/>
    <n v="200"/>
    <n v="500"/>
    <n v="500"/>
    <n v="200"/>
    <n v="300"/>
    <n v="0.6"/>
    <x v="0"/>
    <s v=""/>
    <s v=""/>
    <m/>
    <n v="108.5"/>
    <x v="3"/>
    <n v="21600"/>
    <n v="500"/>
  </r>
  <r>
    <s v="P017"/>
    <x v="16"/>
    <x v="4"/>
    <x v="1"/>
    <x v="0"/>
    <n v="159"/>
    <n v="100"/>
    <n v="59"/>
    <n v="200"/>
    <n v="500"/>
    <n v="50000"/>
    <n v="20000"/>
    <n v="30000"/>
    <n v="0.6"/>
    <x v="1"/>
    <s v=""/>
    <s v=""/>
    <m/>
    <n v="109"/>
    <x v="1"/>
    <n v="11800"/>
    <n v="5000000"/>
  </r>
  <r>
    <s v="P017"/>
    <x v="16"/>
    <x v="4"/>
    <x v="1"/>
    <x v="1"/>
    <n v="114"/>
    <n v="49"/>
    <n v="65"/>
    <n v="200"/>
    <n v="500"/>
    <n v="24500"/>
    <n v="9800"/>
    <n v="14700"/>
    <n v="0.6"/>
    <x v="1"/>
    <s v=""/>
    <s v=""/>
    <m/>
    <n v="89.5"/>
    <x v="1"/>
    <n v="13000"/>
    <n v="1200500"/>
  </r>
  <r>
    <s v="P017"/>
    <x v="16"/>
    <x v="4"/>
    <x v="1"/>
    <x v="2"/>
    <n v="154"/>
    <n v="20"/>
    <n v="134"/>
    <n v="200"/>
    <n v="500"/>
    <n v="10000"/>
    <n v="4000"/>
    <n v="6000"/>
    <n v="0.6"/>
    <x v="1"/>
    <s v=""/>
    <s v=""/>
    <m/>
    <n v="144"/>
    <x v="3"/>
    <n v="26800"/>
    <n v="200000"/>
  </r>
  <r>
    <s v="P017"/>
    <x v="16"/>
    <x v="4"/>
    <x v="1"/>
    <x v="3"/>
    <n v="157"/>
    <n v="74"/>
    <n v="83"/>
    <n v="200"/>
    <n v="500"/>
    <n v="37000"/>
    <n v="14800"/>
    <n v="22200"/>
    <n v="0.6"/>
    <x v="1"/>
    <s v=""/>
    <s v=""/>
    <m/>
    <n v="120"/>
    <x v="1"/>
    <n v="16600"/>
    <n v="2738000"/>
  </r>
  <r>
    <s v="P017"/>
    <x v="16"/>
    <x v="4"/>
    <x v="1"/>
    <x v="4"/>
    <n v="148"/>
    <n v="10"/>
    <n v="138"/>
    <n v="200"/>
    <n v="500"/>
    <n v="5000"/>
    <n v="2000"/>
    <n v="3000"/>
    <n v="0.6"/>
    <x v="0"/>
    <s v=""/>
    <s v=""/>
    <m/>
    <n v="143"/>
    <x v="3"/>
    <n v="27600"/>
    <n v="50000"/>
  </r>
  <r>
    <s v="P017"/>
    <x v="16"/>
    <x v="4"/>
    <x v="1"/>
    <x v="5"/>
    <n v="173"/>
    <n v="135"/>
    <n v="38"/>
    <n v="200"/>
    <n v="500"/>
    <n v="67500"/>
    <n v="27000"/>
    <n v="40500"/>
    <n v="0.6"/>
    <x v="1"/>
    <s v=""/>
    <s v=""/>
    <m/>
    <n v="105.5"/>
    <x v="0"/>
    <n v="7600"/>
    <n v="9112500"/>
  </r>
  <r>
    <s v="P017"/>
    <x v="16"/>
    <x v="4"/>
    <x v="2"/>
    <x v="0"/>
    <n v="118"/>
    <n v="19"/>
    <n v="99"/>
    <n v="200"/>
    <n v="500"/>
    <n v="9500"/>
    <n v="3800"/>
    <n v="5700"/>
    <n v="0.6"/>
    <x v="0"/>
    <s v=""/>
    <s v=""/>
    <m/>
    <n v="108.5"/>
    <x v="1"/>
    <n v="19800"/>
    <n v="180500"/>
  </r>
  <r>
    <s v="P017"/>
    <x v="16"/>
    <x v="4"/>
    <x v="2"/>
    <x v="1"/>
    <n v="84"/>
    <n v="62"/>
    <n v="22"/>
    <n v="200"/>
    <n v="500"/>
    <n v="31000"/>
    <n v="12400"/>
    <n v="18600"/>
    <n v="0.6"/>
    <x v="1"/>
    <s v=""/>
    <s v=""/>
    <m/>
    <n v="53"/>
    <x v="0"/>
    <n v="4400"/>
    <n v="1922000"/>
  </r>
  <r>
    <s v="P017"/>
    <x v="16"/>
    <x v="4"/>
    <x v="2"/>
    <x v="2"/>
    <n v="173"/>
    <n v="41"/>
    <n v="132"/>
    <n v="200"/>
    <n v="500"/>
    <n v="20500"/>
    <n v="8200"/>
    <n v="12300"/>
    <n v="0.6"/>
    <x v="1"/>
    <s v=""/>
    <s v=""/>
    <m/>
    <n v="152.5"/>
    <x v="3"/>
    <n v="26400"/>
    <n v="840500"/>
  </r>
  <r>
    <s v="P017"/>
    <x v="16"/>
    <x v="4"/>
    <x v="2"/>
    <x v="3"/>
    <n v="88"/>
    <n v="72"/>
    <n v="16"/>
    <n v="200"/>
    <n v="500"/>
    <n v="36000"/>
    <n v="14400"/>
    <n v="21600"/>
    <n v="0.6"/>
    <x v="1"/>
    <s v=""/>
    <s v=""/>
    <m/>
    <n v="52"/>
    <x v="0"/>
    <n v="3200"/>
    <n v="2592000"/>
  </r>
  <r>
    <s v="P017"/>
    <x v="16"/>
    <x v="4"/>
    <x v="2"/>
    <x v="4"/>
    <n v="114"/>
    <n v="58"/>
    <n v="56"/>
    <n v="200"/>
    <n v="500"/>
    <n v="29000"/>
    <n v="11600"/>
    <n v="17400"/>
    <n v="0.6"/>
    <x v="1"/>
    <s v=""/>
    <s v=""/>
    <m/>
    <n v="85"/>
    <x v="1"/>
    <n v="11200"/>
    <n v="1682000"/>
  </r>
  <r>
    <s v="P017"/>
    <x v="16"/>
    <x v="4"/>
    <x v="2"/>
    <x v="5"/>
    <n v="102"/>
    <n v="59"/>
    <n v="43"/>
    <n v="200"/>
    <n v="500"/>
    <n v="29500"/>
    <n v="11800"/>
    <n v="17700"/>
    <n v="0.6"/>
    <x v="1"/>
    <s v=""/>
    <s v=""/>
    <m/>
    <n v="72.5"/>
    <x v="0"/>
    <n v="8600"/>
    <n v="1740500"/>
  </r>
  <r>
    <s v="P017"/>
    <x v="16"/>
    <x v="4"/>
    <x v="3"/>
    <x v="0"/>
    <n v="57"/>
    <n v="35"/>
    <n v="22"/>
    <n v="200"/>
    <n v="500"/>
    <n v="17500"/>
    <n v="7000"/>
    <n v="10500"/>
    <n v="0.6"/>
    <x v="1"/>
    <s v=""/>
    <s v=""/>
    <m/>
    <n v="39.5"/>
    <x v="0"/>
    <n v="4400"/>
    <n v="612500"/>
  </r>
  <r>
    <s v="P017"/>
    <x v="16"/>
    <x v="4"/>
    <x v="3"/>
    <x v="1"/>
    <n v="103"/>
    <n v="94"/>
    <n v="9"/>
    <n v="200"/>
    <n v="500"/>
    <n v="47000"/>
    <n v="18800"/>
    <n v="28200"/>
    <n v="0.6"/>
    <x v="1"/>
    <s v=""/>
    <s v=""/>
    <m/>
    <n v="56"/>
    <x v="0"/>
    <n v="1800"/>
    <n v="4418000"/>
  </r>
  <r>
    <s v="P017"/>
    <x v="16"/>
    <x v="4"/>
    <x v="3"/>
    <x v="2"/>
    <n v="174"/>
    <n v="55"/>
    <n v="119"/>
    <n v="200"/>
    <n v="500"/>
    <n v="27500"/>
    <n v="11000"/>
    <n v="16500"/>
    <n v="0.6"/>
    <x v="1"/>
    <s v=""/>
    <s v=""/>
    <m/>
    <n v="146.5"/>
    <x v="3"/>
    <n v="23800"/>
    <n v="1512500"/>
  </r>
  <r>
    <s v="P017"/>
    <x v="16"/>
    <x v="4"/>
    <x v="3"/>
    <x v="3"/>
    <n v="91"/>
    <n v="67"/>
    <n v="24"/>
    <n v="200"/>
    <n v="500"/>
    <n v="33500"/>
    <n v="13400"/>
    <n v="20100"/>
    <n v="0.6"/>
    <x v="1"/>
    <s v=""/>
    <s v=""/>
    <m/>
    <n v="57.5"/>
    <x v="0"/>
    <n v="4800"/>
    <n v="2244500"/>
  </r>
  <r>
    <s v="P017"/>
    <x v="16"/>
    <x v="4"/>
    <x v="3"/>
    <x v="4"/>
    <n v="197"/>
    <n v="179"/>
    <n v="18"/>
    <n v="200"/>
    <n v="500"/>
    <n v="89500"/>
    <n v="35800"/>
    <n v="53700"/>
    <n v="0.6"/>
    <x v="1"/>
    <s v=""/>
    <s v=""/>
    <m/>
    <n v="107.5"/>
    <x v="0"/>
    <n v="3600"/>
    <n v="16020500"/>
  </r>
  <r>
    <s v="P017"/>
    <x v="16"/>
    <x v="4"/>
    <x v="3"/>
    <x v="5"/>
    <n v="143"/>
    <n v="110"/>
    <n v="33"/>
    <n v="200"/>
    <n v="500"/>
    <n v="55000"/>
    <n v="22000"/>
    <n v="33000"/>
    <n v="0.6"/>
    <x v="1"/>
    <s v=""/>
    <s v=""/>
    <m/>
    <n v="88"/>
    <x v="0"/>
    <n v="6600"/>
    <n v="6050000"/>
  </r>
  <r>
    <s v="P018"/>
    <x v="17"/>
    <x v="4"/>
    <x v="0"/>
    <x v="0"/>
    <n v="95"/>
    <n v="69"/>
    <n v="26"/>
    <n v="300"/>
    <n v="700"/>
    <n v="48300"/>
    <n v="20700"/>
    <n v="27600"/>
    <n v="0.5714285714285714"/>
    <x v="1"/>
    <s v=""/>
    <s v=""/>
    <m/>
    <n v="60.5"/>
    <x v="0"/>
    <n v="7800"/>
    <n v="3332700"/>
  </r>
  <r>
    <s v="P018"/>
    <x v="17"/>
    <x v="4"/>
    <x v="0"/>
    <x v="1"/>
    <n v="177"/>
    <n v="143"/>
    <n v="34"/>
    <n v="300"/>
    <n v="700"/>
    <n v="100100"/>
    <n v="42900"/>
    <n v="57200"/>
    <n v="0.5714285714285714"/>
    <x v="1"/>
    <s v=""/>
    <s v=""/>
    <m/>
    <n v="105.5"/>
    <x v="0"/>
    <n v="10200"/>
    <n v="14314300"/>
  </r>
  <r>
    <s v="P018"/>
    <x v="17"/>
    <x v="4"/>
    <x v="0"/>
    <x v="2"/>
    <n v="158"/>
    <n v="100"/>
    <n v="58"/>
    <n v="300"/>
    <n v="700"/>
    <n v="70000"/>
    <n v="30000"/>
    <n v="40000"/>
    <n v="0.5714285714285714"/>
    <x v="1"/>
    <s v=""/>
    <s v=""/>
    <m/>
    <n v="108"/>
    <x v="1"/>
    <n v="17400"/>
    <n v="7000000"/>
  </r>
  <r>
    <s v="P018"/>
    <x v="17"/>
    <x v="4"/>
    <x v="0"/>
    <x v="3"/>
    <n v="82"/>
    <n v="15"/>
    <n v="67"/>
    <n v="300"/>
    <n v="700"/>
    <n v="10500"/>
    <n v="4500"/>
    <n v="6000"/>
    <n v="0.5714285714285714"/>
    <x v="0"/>
    <s v=""/>
    <s v=""/>
    <m/>
    <n v="74.5"/>
    <x v="1"/>
    <n v="20100"/>
    <n v="157500"/>
  </r>
  <r>
    <s v="P018"/>
    <x v="17"/>
    <x v="4"/>
    <x v="0"/>
    <x v="4"/>
    <n v="107"/>
    <n v="4"/>
    <n v="103"/>
    <n v="300"/>
    <n v="700"/>
    <n v="2800"/>
    <n v="1200"/>
    <n v="1600"/>
    <n v="0.5714285714285714"/>
    <x v="0"/>
    <s v=""/>
    <s v=""/>
    <m/>
    <n v="105"/>
    <x v="3"/>
    <n v="30900"/>
    <n v="11200"/>
  </r>
  <r>
    <s v="P018"/>
    <x v="17"/>
    <x v="4"/>
    <x v="0"/>
    <x v="5"/>
    <n v="175"/>
    <n v="88"/>
    <n v="87"/>
    <n v="300"/>
    <n v="700"/>
    <n v="61600"/>
    <n v="26400"/>
    <n v="35200"/>
    <n v="0.5714285714285714"/>
    <x v="1"/>
    <s v=""/>
    <s v=""/>
    <m/>
    <n v="131"/>
    <x v="1"/>
    <n v="26100"/>
    <n v="5420800"/>
  </r>
  <r>
    <s v="P018"/>
    <x v="17"/>
    <x v="4"/>
    <x v="1"/>
    <x v="0"/>
    <n v="131"/>
    <n v="125"/>
    <n v="6"/>
    <n v="300"/>
    <n v="700"/>
    <n v="87500"/>
    <n v="37500"/>
    <n v="50000"/>
    <n v="0.5714285714285714"/>
    <x v="1"/>
    <s v=""/>
    <s v=""/>
    <m/>
    <n v="68.5"/>
    <x v="0"/>
    <n v="1800"/>
    <n v="10937500"/>
  </r>
  <r>
    <s v="P018"/>
    <x v="17"/>
    <x v="4"/>
    <x v="1"/>
    <x v="1"/>
    <n v="169"/>
    <n v="107"/>
    <n v="62"/>
    <n v="300"/>
    <n v="700"/>
    <n v="74900"/>
    <n v="32100"/>
    <n v="42800"/>
    <n v="0.5714285714285714"/>
    <x v="1"/>
    <s v=""/>
    <s v=""/>
    <m/>
    <n v="115.5"/>
    <x v="1"/>
    <n v="18600"/>
    <n v="8014300"/>
  </r>
  <r>
    <s v="P018"/>
    <x v="17"/>
    <x v="4"/>
    <x v="1"/>
    <x v="2"/>
    <n v="54"/>
    <n v="14"/>
    <n v="40"/>
    <n v="300"/>
    <n v="700"/>
    <n v="9800"/>
    <n v="4200"/>
    <n v="5600"/>
    <n v="0.5714285714285714"/>
    <x v="0"/>
    <s v=""/>
    <s v=""/>
    <m/>
    <n v="47"/>
    <x v="0"/>
    <n v="12000"/>
    <n v="137200"/>
  </r>
  <r>
    <s v="P018"/>
    <x v="17"/>
    <x v="4"/>
    <x v="1"/>
    <x v="3"/>
    <n v="73"/>
    <n v="20"/>
    <n v="53"/>
    <n v="300"/>
    <n v="700"/>
    <n v="14000"/>
    <n v="6000"/>
    <n v="8000"/>
    <n v="0.5714285714285714"/>
    <x v="1"/>
    <s v=""/>
    <s v=""/>
    <m/>
    <n v="63"/>
    <x v="1"/>
    <n v="15900"/>
    <n v="280000"/>
  </r>
  <r>
    <s v="P018"/>
    <x v="17"/>
    <x v="4"/>
    <x v="1"/>
    <x v="4"/>
    <n v="71"/>
    <n v="20"/>
    <n v="51"/>
    <n v="300"/>
    <n v="700"/>
    <n v="14000"/>
    <n v="6000"/>
    <n v="8000"/>
    <n v="0.5714285714285714"/>
    <x v="1"/>
    <s v=""/>
    <s v=""/>
    <m/>
    <n v="61"/>
    <x v="1"/>
    <n v="15300"/>
    <n v="280000"/>
  </r>
  <r>
    <s v="P018"/>
    <x v="17"/>
    <x v="4"/>
    <x v="1"/>
    <x v="5"/>
    <n v="192"/>
    <n v="20"/>
    <n v="172"/>
    <n v="300"/>
    <n v="700"/>
    <n v="14000"/>
    <n v="6000"/>
    <n v="8000"/>
    <n v="0.5714285714285714"/>
    <x v="1"/>
    <s v=""/>
    <s v=""/>
    <m/>
    <n v="182"/>
    <x v="3"/>
    <n v="51600"/>
    <n v="280000"/>
  </r>
  <r>
    <s v="P018"/>
    <x v="17"/>
    <x v="4"/>
    <x v="2"/>
    <x v="0"/>
    <n v="168"/>
    <n v="68"/>
    <n v="100"/>
    <n v="300"/>
    <n v="700"/>
    <n v="47600"/>
    <n v="20400"/>
    <n v="27200"/>
    <n v="0.5714285714285714"/>
    <x v="1"/>
    <s v=""/>
    <s v=""/>
    <m/>
    <n v="134"/>
    <x v="1"/>
    <n v="30000"/>
    <n v="3236800"/>
  </r>
  <r>
    <s v="P018"/>
    <x v="17"/>
    <x v="4"/>
    <x v="2"/>
    <x v="1"/>
    <n v="187"/>
    <n v="87"/>
    <n v="100"/>
    <n v="300"/>
    <n v="700"/>
    <n v="60900"/>
    <n v="26100"/>
    <n v="34800"/>
    <n v="0.5714285714285714"/>
    <x v="1"/>
    <s v=""/>
    <s v=""/>
    <m/>
    <n v="143.5"/>
    <x v="1"/>
    <n v="30000"/>
    <n v="5298300"/>
  </r>
  <r>
    <s v="P018"/>
    <x v="17"/>
    <x v="4"/>
    <x v="2"/>
    <x v="2"/>
    <n v="173"/>
    <n v="171"/>
    <n v="2"/>
    <n v="300"/>
    <n v="700"/>
    <n v="119700"/>
    <n v="51300"/>
    <n v="68400"/>
    <n v="0.5714285714285714"/>
    <x v="1"/>
    <s v=""/>
    <s v=""/>
    <m/>
    <n v="87.5"/>
    <x v="0"/>
    <n v="600"/>
    <n v="20468700"/>
  </r>
  <r>
    <s v="P018"/>
    <x v="17"/>
    <x v="4"/>
    <x v="2"/>
    <x v="3"/>
    <n v="194"/>
    <n v="9"/>
    <n v="185"/>
    <n v="300"/>
    <n v="700"/>
    <n v="6300"/>
    <n v="2700"/>
    <n v="3600"/>
    <n v="0.5714285714285714"/>
    <x v="0"/>
    <s v=""/>
    <s v=""/>
    <m/>
    <n v="189.5"/>
    <x v="3"/>
    <n v="55500"/>
    <n v="56700"/>
  </r>
  <r>
    <s v="P018"/>
    <x v="17"/>
    <x v="4"/>
    <x v="2"/>
    <x v="4"/>
    <n v="67"/>
    <n v="59"/>
    <n v="8"/>
    <n v="300"/>
    <n v="700"/>
    <n v="41300"/>
    <n v="17700"/>
    <n v="23600"/>
    <n v="0.5714285714285714"/>
    <x v="1"/>
    <s v=""/>
    <s v=""/>
    <m/>
    <n v="37.5"/>
    <x v="0"/>
    <n v="2400"/>
    <n v="2436700"/>
  </r>
  <r>
    <s v="P018"/>
    <x v="17"/>
    <x v="4"/>
    <x v="2"/>
    <x v="5"/>
    <n v="136"/>
    <n v="63"/>
    <n v="73"/>
    <n v="300"/>
    <n v="700"/>
    <n v="44100"/>
    <n v="18900"/>
    <n v="25200"/>
    <n v="0.5714285714285714"/>
    <x v="1"/>
    <s v=""/>
    <s v=""/>
    <m/>
    <n v="104.5"/>
    <x v="1"/>
    <n v="21900"/>
    <n v="2778300"/>
  </r>
  <r>
    <s v="P018"/>
    <x v="17"/>
    <x v="4"/>
    <x v="3"/>
    <x v="0"/>
    <n v="170"/>
    <n v="48"/>
    <n v="122"/>
    <n v="300"/>
    <n v="700"/>
    <n v="33600"/>
    <n v="14400"/>
    <n v="19200"/>
    <n v="0.5714285714285714"/>
    <x v="1"/>
    <s v=""/>
    <s v=""/>
    <m/>
    <n v="146"/>
    <x v="3"/>
    <n v="36600"/>
    <n v="1612800"/>
  </r>
  <r>
    <s v="P018"/>
    <x v="17"/>
    <x v="4"/>
    <x v="3"/>
    <x v="1"/>
    <n v="172"/>
    <n v="50"/>
    <n v="122"/>
    <n v="300"/>
    <n v="700"/>
    <n v="35000"/>
    <n v="15000"/>
    <n v="20000"/>
    <n v="0.5714285714285714"/>
    <x v="1"/>
    <s v=""/>
    <s v=""/>
    <m/>
    <n v="147"/>
    <x v="3"/>
    <n v="36600"/>
    <n v="1750000"/>
  </r>
  <r>
    <s v="P018"/>
    <x v="17"/>
    <x v="4"/>
    <x v="3"/>
    <x v="2"/>
    <n v="81"/>
    <n v="38"/>
    <n v="43"/>
    <n v="300"/>
    <n v="700"/>
    <n v="26600"/>
    <n v="11400"/>
    <n v="15200"/>
    <n v="0.5714285714285714"/>
    <x v="1"/>
    <s v=""/>
    <s v=""/>
    <m/>
    <n v="62"/>
    <x v="0"/>
    <n v="12900"/>
    <n v="1010800"/>
  </r>
  <r>
    <s v="P018"/>
    <x v="17"/>
    <x v="4"/>
    <x v="3"/>
    <x v="3"/>
    <n v="116"/>
    <n v="61"/>
    <n v="55"/>
    <n v="300"/>
    <n v="700"/>
    <n v="42700"/>
    <n v="18300"/>
    <n v="24400"/>
    <n v="0.5714285714285714"/>
    <x v="1"/>
    <s v=""/>
    <s v=""/>
    <m/>
    <n v="85.5"/>
    <x v="1"/>
    <n v="16500"/>
    <n v="2604700"/>
  </r>
  <r>
    <s v="P018"/>
    <x v="17"/>
    <x v="4"/>
    <x v="3"/>
    <x v="4"/>
    <n v="149"/>
    <n v="97"/>
    <n v="52"/>
    <n v="300"/>
    <n v="700"/>
    <n v="67900"/>
    <n v="29100"/>
    <n v="38800"/>
    <n v="0.5714285714285714"/>
    <x v="1"/>
    <s v=""/>
    <s v=""/>
    <m/>
    <n v="100.5"/>
    <x v="1"/>
    <n v="15600"/>
    <n v="6586300"/>
  </r>
  <r>
    <s v="P018"/>
    <x v="17"/>
    <x v="4"/>
    <x v="3"/>
    <x v="5"/>
    <n v="149"/>
    <n v="83"/>
    <n v="66"/>
    <n v="300"/>
    <n v="700"/>
    <n v="58100"/>
    <n v="24900"/>
    <n v="33200"/>
    <n v="0.5714285714285714"/>
    <x v="1"/>
    <s v=""/>
    <s v=""/>
    <m/>
    <n v="107.5"/>
    <x v="1"/>
    <n v="19800"/>
    <n v="4822300"/>
  </r>
  <r>
    <s v="P019"/>
    <x v="18"/>
    <x v="4"/>
    <x v="0"/>
    <x v="0"/>
    <n v="180"/>
    <n v="176"/>
    <n v="4"/>
    <n v="2000"/>
    <n v="4000"/>
    <n v="704000"/>
    <n v="352000"/>
    <n v="352000"/>
    <n v="0.5"/>
    <x v="1"/>
    <s v=""/>
    <s v=""/>
    <m/>
    <n v="92"/>
    <x v="0"/>
    <n v="8000"/>
    <n v="123904000"/>
  </r>
  <r>
    <s v="P019"/>
    <x v="18"/>
    <x v="4"/>
    <x v="0"/>
    <x v="1"/>
    <n v="101"/>
    <n v="7"/>
    <n v="94"/>
    <n v="2000"/>
    <n v="4000"/>
    <n v="28000"/>
    <n v="14000"/>
    <n v="14000"/>
    <n v="0.5"/>
    <x v="0"/>
    <s v=""/>
    <s v=""/>
    <m/>
    <n v="97.5"/>
    <x v="1"/>
    <n v="188000"/>
    <n v="196000"/>
  </r>
  <r>
    <s v="P019"/>
    <x v="18"/>
    <x v="4"/>
    <x v="0"/>
    <x v="2"/>
    <n v="130"/>
    <n v="123"/>
    <n v="7"/>
    <n v="2000"/>
    <n v="4000"/>
    <n v="492000"/>
    <n v="246000"/>
    <n v="246000"/>
    <n v="0.5"/>
    <x v="1"/>
    <s v=""/>
    <s v=""/>
    <m/>
    <n v="68.5"/>
    <x v="0"/>
    <n v="14000"/>
    <n v="60516000"/>
  </r>
  <r>
    <s v="P019"/>
    <x v="18"/>
    <x v="4"/>
    <x v="0"/>
    <x v="3"/>
    <n v="58"/>
    <n v="36"/>
    <n v="22"/>
    <n v="2000"/>
    <n v="4000"/>
    <n v="144000"/>
    <n v="72000"/>
    <n v="72000"/>
    <n v="0.5"/>
    <x v="1"/>
    <s v=""/>
    <s v=""/>
    <m/>
    <n v="40"/>
    <x v="0"/>
    <n v="44000"/>
    <n v="5184000"/>
  </r>
  <r>
    <s v="P019"/>
    <x v="18"/>
    <x v="4"/>
    <x v="0"/>
    <x v="4"/>
    <n v="62"/>
    <n v="8"/>
    <n v="54"/>
    <n v="2000"/>
    <n v="4000"/>
    <n v="32000"/>
    <n v="16000"/>
    <n v="16000"/>
    <n v="0.5"/>
    <x v="0"/>
    <s v=""/>
    <s v=""/>
    <m/>
    <n v="58"/>
    <x v="1"/>
    <n v="108000"/>
    <n v="256000"/>
  </r>
  <r>
    <s v="P019"/>
    <x v="18"/>
    <x v="4"/>
    <x v="0"/>
    <x v="5"/>
    <n v="106"/>
    <n v="60"/>
    <n v="46"/>
    <n v="2000"/>
    <n v="4000"/>
    <n v="240000"/>
    <n v="120000"/>
    <n v="120000"/>
    <n v="0.5"/>
    <x v="1"/>
    <s v=""/>
    <s v=""/>
    <m/>
    <n v="76"/>
    <x v="0"/>
    <n v="92000"/>
    <n v="14400000"/>
  </r>
  <r>
    <s v="P019"/>
    <x v="18"/>
    <x v="4"/>
    <x v="1"/>
    <x v="0"/>
    <n v="194"/>
    <n v="166"/>
    <n v="28"/>
    <n v="2000"/>
    <n v="4000"/>
    <n v="664000"/>
    <n v="332000"/>
    <n v="332000"/>
    <n v="0.5"/>
    <x v="1"/>
    <s v=""/>
    <s v=""/>
    <m/>
    <n v="111"/>
    <x v="0"/>
    <n v="56000"/>
    <n v="110224000"/>
  </r>
  <r>
    <s v="P019"/>
    <x v="18"/>
    <x v="4"/>
    <x v="1"/>
    <x v="1"/>
    <n v="132"/>
    <n v="4"/>
    <n v="128"/>
    <n v="2000"/>
    <n v="4000"/>
    <n v="16000"/>
    <n v="8000"/>
    <n v="8000"/>
    <n v="0.5"/>
    <x v="0"/>
    <s v=""/>
    <s v=""/>
    <m/>
    <n v="130"/>
    <x v="3"/>
    <n v="256000"/>
    <n v="64000"/>
  </r>
  <r>
    <s v="P019"/>
    <x v="18"/>
    <x v="4"/>
    <x v="1"/>
    <x v="2"/>
    <n v="56"/>
    <n v="6"/>
    <n v="50"/>
    <n v="2000"/>
    <n v="4000"/>
    <n v="24000"/>
    <n v="12000"/>
    <n v="12000"/>
    <n v="0.5"/>
    <x v="0"/>
    <s v=""/>
    <s v=""/>
    <m/>
    <n v="53"/>
    <x v="0"/>
    <n v="100000"/>
    <n v="144000"/>
  </r>
  <r>
    <s v="P019"/>
    <x v="18"/>
    <x v="4"/>
    <x v="1"/>
    <x v="3"/>
    <n v="152"/>
    <n v="87"/>
    <n v="65"/>
    <n v="2000"/>
    <n v="4000"/>
    <n v="348000"/>
    <n v="174000"/>
    <n v="174000"/>
    <n v="0.5"/>
    <x v="1"/>
    <s v=""/>
    <s v=""/>
    <m/>
    <n v="108.5"/>
    <x v="1"/>
    <n v="130000"/>
    <n v="30276000"/>
  </r>
  <r>
    <s v="P019"/>
    <x v="18"/>
    <x v="4"/>
    <x v="1"/>
    <x v="4"/>
    <n v="93"/>
    <n v="15"/>
    <n v="78"/>
    <n v="2000"/>
    <n v="4000"/>
    <n v="60000"/>
    <n v="30000"/>
    <n v="30000"/>
    <n v="0.5"/>
    <x v="0"/>
    <s v=""/>
    <s v=""/>
    <m/>
    <n v="85.5"/>
    <x v="1"/>
    <n v="156000"/>
    <n v="900000"/>
  </r>
  <r>
    <s v="P019"/>
    <x v="18"/>
    <x v="4"/>
    <x v="1"/>
    <x v="5"/>
    <n v="69"/>
    <n v="55"/>
    <n v="14"/>
    <n v="2000"/>
    <n v="4000"/>
    <n v="220000"/>
    <n v="110000"/>
    <n v="110000"/>
    <n v="0.5"/>
    <x v="1"/>
    <s v=""/>
    <s v=""/>
    <m/>
    <n v="41.5"/>
    <x v="0"/>
    <n v="28000"/>
    <n v="12100000"/>
  </r>
  <r>
    <s v="P019"/>
    <x v="18"/>
    <x v="4"/>
    <x v="2"/>
    <x v="0"/>
    <n v="180"/>
    <n v="59"/>
    <n v="121"/>
    <n v="2000"/>
    <n v="4000"/>
    <n v="236000"/>
    <n v="118000"/>
    <n v="118000"/>
    <n v="0.5"/>
    <x v="1"/>
    <s v=""/>
    <s v=""/>
    <m/>
    <n v="150.5"/>
    <x v="3"/>
    <n v="242000"/>
    <n v="13924000"/>
  </r>
  <r>
    <s v="P019"/>
    <x v="18"/>
    <x v="4"/>
    <x v="2"/>
    <x v="1"/>
    <n v="69"/>
    <n v="2"/>
    <n v="67"/>
    <n v="2000"/>
    <n v="4000"/>
    <n v="8000"/>
    <n v="4000"/>
    <n v="4000"/>
    <n v="0.5"/>
    <x v="0"/>
    <s v=""/>
    <s v=""/>
    <m/>
    <n v="68"/>
    <x v="1"/>
    <n v="134000"/>
    <n v="16000"/>
  </r>
  <r>
    <s v="P019"/>
    <x v="18"/>
    <x v="4"/>
    <x v="2"/>
    <x v="2"/>
    <n v="108"/>
    <n v="50"/>
    <n v="58"/>
    <n v="2000"/>
    <n v="4000"/>
    <n v="200000"/>
    <n v="100000"/>
    <n v="100000"/>
    <n v="0.5"/>
    <x v="1"/>
    <s v=""/>
    <s v=""/>
    <m/>
    <n v="83"/>
    <x v="1"/>
    <n v="116000"/>
    <n v="10000000"/>
  </r>
  <r>
    <s v="P019"/>
    <x v="18"/>
    <x v="4"/>
    <x v="2"/>
    <x v="3"/>
    <n v="148"/>
    <n v="68"/>
    <n v="80"/>
    <n v="2000"/>
    <n v="4000"/>
    <n v="272000"/>
    <n v="136000"/>
    <n v="136000"/>
    <n v="0.5"/>
    <x v="1"/>
    <s v=""/>
    <s v=""/>
    <m/>
    <n v="114"/>
    <x v="1"/>
    <n v="160000"/>
    <n v="18496000"/>
  </r>
  <r>
    <s v="P019"/>
    <x v="18"/>
    <x v="4"/>
    <x v="2"/>
    <x v="4"/>
    <n v="65"/>
    <n v="36"/>
    <n v="29"/>
    <n v="2000"/>
    <n v="4000"/>
    <n v="144000"/>
    <n v="72000"/>
    <n v="72000"/>
    <n v="0.5"/>
    <x v="1"/>
    <s v=""/>
    <s v=""/>
    <m/>
    <n v="47"/>
    <x v="0"/>
    <n v="58000"/>
    <n v="5184000"/>
  </r>
  <r>
    <s v="P019"/>
    <x v="18"/>
    <x v="4"/>
    <x v="2"/>
    <x v="5"/>
    <n v="121"/>
    <n v="107"/>
    <n v="14"/>
    <n v="2000"/>
    <n v="4000"/>
    <n v="428000"/>
    <n v="214000"/>
    <n v="214000"/>
    <n v="0.5"/>
    <x v="1"/>
    <s v=""/>
    <s v=""/>
    <m/>
    <n v="67.5"/>
    <x v="0"/>
    <n v="28000"/>
    <n v="45796000"/>
  </r>
  <r>
    <s v="P019"/>
    <x v="18"/>
    <x v="4"/>
    <x v="3"/>
    <x v="0"/>
    <n v="95"/>
    <n v="57"/>
    <n v="38"/>
    <n v="2000"/>
    <n v="4000"/>
    <n v="228000"/>
    <n v="114000"/>
    <n v="114000"/>
    <n v="0.5"/>
    <x v="1"/>
    <s v=""/>
    <s v=""/>
    <m/>
    <n v="66.5"/>
    <x v="0"/>
    <n v="76000"/>
    <n v="12996000"/>
  </r>
  <r>
    <s v="P019"/>
    <x v="18"/>
    <x v="4"/>
    <x v="3"/>
    <x v="1"/>
    <n v="105"/>
    <n v="49"/>
    <n v="56"/>
    <n v="2000"/>
    <n v="4000"/>
    <n v="196000"/>
    <n v="98000"/>
    <n v="98000"/>
    <n v="0.5"/>
    <x v="1"/>
    <s v=""/>
    <s v=""/>
    <m/>
    <n v="80.5"/>
    <x v="1"/>
    <n v="112000"/>
    <n v="9604000"/>
  </r>
  <r>
    <s v="P019"/>
    <x v="18"/>
    <x v="4"/>
    <x v="3"/>
    <x v="2"/>
    <n v="111"/>
    <n v="89"/>
    <n v="22"/>
    <n v="2000"/>
    <n v="4000"/>
    <n v="356000"/>
    <n v="178000"/>
    <n v="178000"/>
    <n v="0.5"/>
    <x v="1"/>
    <s v=""/>
    <s v=""/>
    <m/>
    <n v="66.5"/>
    <x v="0"/>
    <n v="44000"/>
    <n v="31684000"/>
  </r>
  <r>
    <s v="P019"/>
    <x v="18"/>
    <x v="4"/>
    <x v="3"/>
    <x v="3"/>
    <n v="186"/>
    <n v="83"/>
    <n v="103"/>
    <n v="2000"/>
    <n v="4000"/>
    <n v="332000"/>
    <n v="166000"/>
    <n v="166000"/>
    <n v="0.5"/>
    <x v="1"/>
    <s v=""/>
    <s v=""/>
    <m/>
    <n v="144.5"/>
    <x v="3"/>
    <n v="206000"/>
    <n v="27556000"/>
  </r>
  <r>
    <s v="P019"/>
    <x v="18"/>
    <x v="4"/>
    <x v="3"/>
    <x v="4"/>
    <n v="121"/>
    <n v="77"/>
    <n v="44"/>
    <n v="2000"/>
    <n v="4000"/>
    <n v="308000"/>
    <n v="154000"/>
    <n v="154000"/>
    <n v="0.5"/>
    <x v="1"/>
    <s v=""/>
    <s v=""/>
    <m/>
    <n v="82.5"/>
    <x v="0"/>
    <n v="88000"/>
    <n v="23716000"/>
  </r>
  <r>
    <s v="P019"/>
    <x v="18"/>
    <x v="4"/>
    <x v="3"/>
    <x v="5"/>
    <n v="94"/>
    <n v="52"/>
    <n v="42"/>
    <n v="2000"/>
    <n v="4000"/>
    <n v="208000"/>
    <n v="104000"/>
    <n v="104000"/>
    <n v="0.5"/>
    <x v="1"/>
    <s v=""/>
    <s v=""/>
    <m/>
    <n v="68"/>
    <x v="0"/>
    <n v="84000"/>
    <n v="10816000"/>
  </r>
  <r>
    <s v="P020"/>
    <x v="19"/>
    <x v="4"/>
    <x v="0"/>
    <x v="0"/>
    <n v="80"/>
    <n v="6"/>
    <n v="74"/>
    <n v="1000"/>
    <n v="2500"/>
    <n v="15000"/>
    <n v="6000"/>
    <n v="9000"/>
    <n v="0.6"/>
    <x v="0"/>
    <s v=""/>
    <s v=""/>
    <m/>
    <n v="77"/>
    <x v="1"/>
    <n v="74000"/>
    <n v="90000"/>
  </r>
  <r>
    <s v="P020"/>
    <x v="19"/>
    <x v="4"/>
    <x v="0"/>
    <x v="1"/>
    <n v="83"/>
    <n v="39"/>
    <n v="44"/>
    <n v="1000"/>
    <n v="2500"/>
    <n v="97500"/>
    <n v="39000"/>
    <n v="58500"/>
    <n v="0.6"/>
    <x v="1"/>
    <s v=""/>
    <s v=""/>
    <m/>
    <n v="63.5"/>
    <x v="0"/>
    <n v="44000"/>
    <n v="3802500"/>
  </r>
  <r>
    <s v="P020"/>
    <x v="19"/>
    <x v="4"/>
    <x v="0"/>
    <x v="2"/>
    <n v="200"/>
    <n v="168"/>
    <n v="32"/>
    <n v="1000"/>
    <n v="2500"/>
    <n v="420000"/>
    <n v="168000"/>
    <n v="252000"/>
    <n v="0.6"/>
    <x v="1"/>
    <s v=""/>
    <s v=""/>
    <m/>
    <n v="116"/>
    <x v="0"/>
    <n v="32000"/>
    <n v="70560000"/>
  </r>
  <r>
    <s v="P020"/>
    <x v="19"/>
    <x v="4"/>
    <x v="0"/>
    <x v="3"/>
    <n v="154"/>
    <n v="33"/>
    <n v="121"/>
    <n v="1000"/>
    <n v="2500"/>
    <n v="82500"/>
    <n v="33000"/>
    <n v="49500"/>
    <n v="0.6"/>
    <x v="1"/>
    <s v=""/>
    <s v=""/>
    <m/>
    <n v="137.5"/>
    <x v="3"/>
    <n v="121000"/>
    <n v="2722500"/>
  </r>
  <r>
    <s v="P020"/>
    <x v="19"/>
    <x v="4"/>
    <x v="0"/>
    <x v="4"/>
    <n v="85"/>
    <n v="61"/>
    <n v="24"/>
    <n v="1000"/>
    <n v="2500"/>
    <n v="152500"/>
    <n v="61000"/>
    <n v="91500"/>
    <n v="0.6"/>
    <x v="1"/>
    <s v=""/>
    <s v=""/>
    <m/>
    <n v="54.5"/>
    <x v="0"/>
    <n v="24000"/>
    <n v="9302500"/>
  </r>
  <r>
    <s v="P020"/>
    <x v="19"/>
    <x v="4"/>
    <x v="0"/>
    <x v="5"/>
    <n v="157"/>
    <n v="1"/>
    <n v="156"/>
    <n v="1000"/>
    <n v="2500"/>
    <n v="2500"/>
    <n v="1000"/>
    <n v="1500"/>
    <n v="0.6"/>
    <x v="0"/>
    <s v=""/>
    <s v=""/>
    <m/>
    <n v="156.5"/>
    <x v="3"/>
    <n v="156000"/>
    <n v="2500"/>
  </r>
  <r>
    <s v="P020"/>
    <x v="19"/>
    <x v="4"/>
    <x v="1"/>
    <x v="0"/>
    <n v="61"/>
    <n v="59"/>
    <n v="2"/>
    <n v="1000"/>
    <n v="2500"/>
    <n v="147500"/>
    <n v="59000"/>
    <n v="88500"/>
    <n v="0.6"/>
    <x v="1"/>
    <s v=""/>
    <s v=""/>
    <m/>
    <n v="31.5"/>
    <x v="0"/>
    <n v="2000"/>
    <n v="8702500"/>
  </r>
  <r>
    <s v="P020"/>
    <x v="19"/>
    <x v="4"/>
    <x v="1"/>
    <x v="1"/>
    <n v="68"/>
    <n v="5"/>
    <n v="63"/>
    <n v="1000"/>
    <n v="2500"/>
    <n v="12500"/>
    <n v="5000"/>
    <n v="7500"/>
    <n v="0.6"/>
    <x v="0"/>
    <s v=""/>
    <s v=""/>
    <m/>
    <n v="65.5"/>
    <x v="1"/>
    <n v="63000"/>
    <n v="62500"/>
  </r>
  <r>
    <s v="P020"/>
    <x v="19"/>
    <x v="4"/>
    <x v="1"/>
    <x v="2"/>
    <n v="127"/>
    <n v="89"/>
    <n v="38"/>
    <n v="1000"/>
    <n v="2500"/>
    <n v="222500"/>
    <n v="89000"/>
    <n v="133500"/>
    <n v="0.6"/>
    <x v="1"/>
    <s v=""/>
    <s v=""/>
    <m/>
    <n v="82.5"/>
    <x v="0"/>
    <n v="38000"/>
    <n v="19802500"/>
  </r>
  <r>
    <s v="P020"/>
    <x v="19"/>
    <x v="4"/>
    <x v="1"/>
    <x v="3"/>
    <n v="161"/>
    <n v="113"/>
    <n v="48"/>
    <n v="1000"/>
    <n v="2500"/>
    <n v="282500"/>
    <n v="113000"/>
    <n v="169500"/>
    <n v="0.6"/>
    <x v="1"/>
    <s v=""/>
    <s v=""/>
    <m/>
    <n v="104.5"/>
    <x v="0"/>
    <n v="48000"/>
    <n v="31922500"/>
  </r>
  <r>
    <s v="P020"/>
    <x v="19"/>
    <x v="4"/>
    <x v="1"/>
    <x v="4"/>
    <n v="91"/>
    <n v="7"/>
    <n v="84"/>
    <n v="1000"/>
    <n v="2500"/>
    <n v="17500"/>
    <n v="7000"/>
    <n v="10500"/>
    <n v="0.6"/>
    <x v="0"/>
    <s v=""/>
    <s v=""/>
    <m/>
    <n v="87.5"/>
    <x v="1"/>
    <n v="84000"/>
    <n v="122500"/>
  </r>
  <r>
    <s v="P020"/>
    <x v="19"/>
    <x v="4"/>
    <x v="1"/>
    <x v="5"/>
    <n v="50"/>
    <n v="36"/>
    <n v="14"/>
    <n v="1000"/>
    <n v="2500"/>
    <n v="90000"/>
    <n v="36000"/>
    <n v="54000"/>
    <n v="0.6"/>
    <x v="1"/>
    <s v=""/>
    <s v=""/>
    <m/>
    <n v="32"/>
    <x v="0"/>
    <n v="14000"/>
    <n v="3240000"/>
  </r>
  <r>
    <s v="P020"/>
    <x v="19"/>
    <x v="4"/>
    <x v="2"/>
    <x v="0"/>
    <n v="188"/>
    <n v="106"/>
    <n v="82"/>
    <n v="1000"/>
    <n v="2500"/>
    <n v="265000"/>
    <n v="106000"/>
    <n v="159000"/>
    <n v="0.6"/>
    <x v="1"/>
    <s v=""/>
    <s v=""/>
    <m/>
    <n v="135"/>
    <x v="1"/>
    <n v="82000"/>
    <n v="28090000"/>
  </r>
  <r>
    <s v="P020"/>
    <x v="19"/>
    <x v="4"/>
    <x v="2"/>
    <x v="1"/>
    <n v="151"/>
    <n v="147"/>
    <n v="4"/>
    <n v="1000"/>
    <n v="2500"/>
    <n v="367500"/>
    <n v="147000"/>
    <n v="220500"/>
    <n v="0.6"/>
    <x v="1"/>
    <s v=""/>
    <s v=""/>
    <m/>
    <n v="77.5"/>
    <x v="0"/>
    <n v="4000"/>
    <n v="54022500"/>
  </r>
  <r>
    <s v="P020"/>
    <x v="19"/>
    <x v="4"/>
    <x v="2"/>
    <x v="2"/>
    <n v="135"/>
    <n v="37"/>
    <n v="98"/>
    <n v="1000"/>
    <n v="2500"/>
    <n v="92500"/>
    <n v="37000"/>
    <n v="55500"/>
    <n v="0.6"/>
    <x v="1"/>
    <s v=""/>
    <s v=""/>
    <m/>
    <n v="116.5"/>
    <x v="1"/>
    <n v="98000"/>
    <n v="3422500"/>
  </r>
  <r>
    <s v="P020"/>
    <x v="19"/>
    <x v="4"/>
    <x v="2"/>
    <x v="3"/>
    <n v="90"/>
    <n v="88"/>
    <n v="2"/>
    <n v="1000"/>
    <n v="2500"/>
    <n v="220000"/>
    <n v="88000"/>
    <n v="132000"/>
    <n v="0.6"/>
    <x v="1"/>
    <s v=""/>
    <s v=""/>
    <m/>
    <n v="46"/>
    <x v="0"/>
    <n v="2000"/>
    <n v="19360000"/>
  </r>
  <r>
    <s v="P020"/>
    <x v="19"/>
    <x v="4"/>
    <x v="2"/>
    <x v="4"/>
    <n v="89"/>
    <n v="54"/>
    <n v="35"/>
    <n v="1000"/>
    <n v="2500"/>
    <n v="135000"/>
    <n v="54000"/>
    <n v="81000"/>
    <n v="0.6"/>
    <x v="1"/>
    <s v=""/>
    <s v=""/>
    <m/>
    <n v="62"/>
    <x v="0"/>
    <n v="35000"/>
    <n v="7290000"/>
  </r>
  <r>
    <s v="P020"/>
    <x v="19"/>
    <x v="4"/>
    <x v="2"/>
    <x v="5"/>
    <n v="50"/>
    <n v="38"/>
    <n v="12"/>
    <n v="1000"/>
    <n v="2500"/>
    <n v="95000"/>
    <n v="38000"/>
    <n v="57000"/>
    <n v="0.6"/>
    <x v="1"/>
    <s v=""/>
    <s v=""/>
    <m/>
    <n v="31"/>
    <x v="0"/>
    <n v="12000"/>
    <n v="3610000"/>
  </r>
  <r>
    <s v="P020"/>
    <x v="19"/>
    <x v="4"/>
    <x v="3"/>
    <x v="0"/>
    <n v="145"/>
    <n v="102"/>
    <n v="43"/>
    <n v="1000"/>
    <n v="2500"/>
    <n v="255000"/>
    <n v="102000"/>
    <n v="153000"/>
    <n v="0.6"/>
    <x v="1"/>
    <s v=""/>
    <s v=""/>
    <m/>
    <n v="94"/>
    <x v="0"/>
    <n v="43000"/>
    <n v="26010000"/>
  </r>
  <r>
    <s v="P020"/>
    <x v="19"/>
    <x v="4"/>
    <x v="3"/>
    <x v="1"/>
    <n v="58"/>
    <n v="32"/>
    <n v="26"/>
    <n v="1000"/>
    <n v="2500"/>
    <n v="80000"/>
    <n v="32000"/>
    <n v="48000"/>
    <n v="0.6"/>
    <x v="1"/>
    <s v=""/>
    <s v=""/>
    <m/>
    <n v="42"/>
    <x v="0"/>
    <n v="26000"/>
    <n v="2560000"/>
  </r>
  <r>
    <s v="P020"/>
    <x v="19"/>
    <x v="4"/>
    <x v="3"/>
    <x v="2"/>
    <n v="123"/>
    <n v="39"/>
    <n v="84"/>
    <n v="1000"/>
    <n v="2500"/>
    <n v="97500"/>
    <n v="39000"/>
    <n v="58500"/>
    <n v="0.6"/>
    <x v="1"/>
    <s v=""/>
    <s v=""/>
    <m/>
    <n v="103.5"/>
    <x v="1"/>
    <n v="84000"/>
    <n v="3802500"/>
  </r>
  <r>
    <s v="P020"/>
    <x v="19"/>
    <x v="4"/>
    <x v="3"/>
    <x v="3"/>
    <n v="131"/>
    <n v="46"/>
    <n v="85"/>
    <n v="1000"/>
    <n v="2500"/>
    <n v="115000"/>
    <n v="46000"/>
    <n v="69000"/>
    <n v="0.6"/>
    <x v="1"/>
    <s v=""/>
    <s v=""/>
    <m/>
    <n v="108"/>
    <x v="1"/>
    <n v="85000"/>
    <n v="5290000"/>
  </r>
  <r>
    <s v="P020"/>
    <x v="19"/>
    <x v="4"/>
    <x v="3"/>
    <x v="4"/>
    <n v="113"/>
    <n v="53"/>
    <n v="60"/>
    <n v="1000"/>
    <n v="2500"/>
    <n v="132500"/>
    <n v="53000"/>
    <n v="79500"/>
    <n v="0.6"/>
    <x v="1"/>
    <s v=""/>
    <s v=""/>
    <m/>
    <n v="86.5"/>
    <x v="1"/>
    <n v="60000"/>
    <n v="7022500"/>
  </r>
  <r>
    <s v="P020"/>
    <x v="19"/>
    <x v="4"/>
    <x v="3"/>
    <x v="5"/>
    <n v="181"/>
    <n v="157"/>
    <n v="24"/>
    <n v="1000"/>
    <n v="2500"/>
    <n v="392500"/>
    <n v="157000"/>
    <n v="235500"/>
    <n v="0.6"/>
    <x v="1"/>
    <s v=""/>
    <s v=""/>
    <m/>
    <n v="102.5"/>
    <x v="0"/>
    <n v="24000"/>
    <n v="61622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9DF412-58EB-4B5F-865F-963ADF63909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6:B22" firstHeaderRow="1" firstDataRow="1" firstDataCol="1"/>
  <pivotFields count="22">
    <pivotField showAll="0"/>
    <pivotField axis="axisRow" showAll="0" measureFilter="1" sortType="ascending">
      <items count="21">
        <item x="19"/>
        <item x="7"/>
        <item x="16"/>
        <item x="6"/>
        <item x="5"/>
        <item x="11"/>
        <item x="3"/>
        <item x="14"/>
        <item x="13"/>
        <item x="0"/>
        <item x="1"/>
        <item x="9"/>
        <item x="8"/>
        <item x="15"/>
        <item x="4"/>
        <item x="10"/>
        <item x="12"/>
        <item x="2"/>
        <item x="17"/>
        <item x="18"/>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dataField="1" showAll="0"/>
    <pivotField numFmtId="9" showAll="0"/>
    <pivotField showAll="0"/>
    <pivotField showAll="0"/>
    <pivotField showAll="0"/>
    <pivotField showAll="0"/>
    <pivotField showAll="0"/>
    <pivotField showAll="0"/>
    <pivotField showAll="0"/>
    <pivotField showAll="0"/>
  </pivotFields>
  <rowFields count="1">
    <field x="1"/>
  </rowFields>
  <rowItems count="6">
    <i>
      <x v="10"/>
    </i>
    <i>
      <x v="19"/>
    </i>
    <i>
      <x v="1"/>
    </i>
    <i>
      <x v="9"/>
    </i>
    <i>
      <x v="17"/>
    </i>
    <i t="grand">
      <x/>
    </i>
  </rowItems>
  <colItems count="1">
    <i/>
  </colItems>
  <dataFields count="1">
    <dataField name="Sum of profit" fld="12" baseField="1" baseItem="0"/>
  </dataField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17"/>
          </reference>
        </references>
      </pivotArea>
    </chartFormat>
    <chartFormat chart="1" format="3">
      <pivotArea type="data" outline="0" fieldPosition="0">
        <references count="2">
          <reference field="4294967294" count="1" selected="0">
            <x v="0"/>
          </reference>
          <reference field="1" count="1" selected="0">
            <x v="9"/>
          </reference>
        </references>
      </pivotArea>
    </chartFormat>
    <chartFormat chart="1" format="4">
      <pivotArea type="data" outline="0" fieldPosition="0">
        <references count="2">
          <reference field="4294967294" count="1" selected="0">
            <x v="0"/>
          </reference>
          <reference field="1" count="1" selected="0">
            <x v="1"/>
          </reference>
        </references>
      </pivotArea>
    </chartFormat>
    <chartFormat chart="1" format="5">
      <pivotArea type="data" outline="0" fieldPosition="0">
        <references count="2">
          <reference field="4294967294" count="1" selected="0">
            <x v="0"/>
          </reference>
          <reference field="1" count="1" selected="0">
            <x v="19"/>
          </reference>
        </references>
      </pivotArea>
    </chartFormat>
    <chartFormat chart="1" format="6">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6C372A-C8C2-4DD6-BC43-364A8338C55A}" name="Inventory Aging"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K7:L12" firstHeaderRow="1" firstDataRow="1" firstDataCol="1"/>
  <pivotFields count="22">
    <pivotField showAll="0"/>
    <pivotField showAll="0"/>
    <pivotField showAll="0">
      <items count="6">
        <item x="4"/>
        <item x="3"/>
        <item x="0"/>
        <item x="1"/>
        <item x="2"/>
        <item t="default"/>
      </items>
    </pivotField>
    <pivotField showAll="0">
      <items count="5">
        <item x="2"/>
        <item x="0"/>
        <item x="1"/>
        <item x="3"/>
        <item t="default"/>
      </items>
    </pivotField>
    <pivotField numFmtId="14" showAll="0">
      <items count="7">
        <item x="0"/>
        <item x="1"/>
        <item x="2"/>
        <item x="3"/>
        <item x="4"/>
        <item x="5"/>
        <item t="default"/>
      </items>
    </pivotField>
    <pivotField showAll="0"/>
    <pivotField showAll="0"/>
    <pivotField dataField="1" showAll="0"/>
    <pivotField showAll="0"/>
    <pivotField showAll="0"/>
    <pivotField showAll="0"/>
    <pivotField showAll="0"/>
    <pivotField showAll="0"/>
    <pivotField numFmtId="9" showAll="0"/>
    <pivotField showAll="0"/>
    <pivotField showAll="0"/>
    <pivotField showAll="0"/>
    <pivotField showAll="0"/>
    <pivotField showAll="0"/>
    <pivotField axis="axisRow" showAll="0" sortType="ascending">
      <items count="5">
        <item x="0"/>
        <item x="1"/>
        <item x="3"/>
        <item x="2"/>
        <item t="default"/>
      </items>
    </pivotField>
    <pivotField showAll="0"/>
    <pivotField showAll="0"/>
  </pivotFields>
  <rowFields count="1">
    <field x="19"/>
  </rowFields>
  <rowItems count="5">
    <i>
      <x/>
    </i>
    <i>
      <x v="1"/>
    </i>
    <i>
      <x v="2"/>
    </i>
    <i>
      <x v="3"/>
    </i>
    <i t="grand">
      <x/>
    </i>
  </rowItems>
  <colItems count="1">
    <i/>
  </colItems>
  <dataFields count="1">
    <dataField name="Sum of Closing_Stock" fld="7" baseField="0" baseItem="0"/>
  </dataFields>
  <chartFormats count="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18C8FE-59A2-4993-85F3-F4103C26FB53}" name="Revenue &amp; Profit Tren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G7:I14" firstHeaderRow="0" firstDataRow="1" firstDataCol="1"/>
  <pivotFields count="22">
    <pivotField showAll="0"/>
    <pivotField showAll="0"/>
    <pivotField showAll="0">
      <items count="6">
        <item x="4"/>
        <item x="3"/>
        <item x="0"/>
        <item x="1"/>
        <item x="2"/>
        <item t="default"/>
      </items>
    </pivotField>
    <pivotField showAll="0">
      <items count="5">
        <item x="2"/>
        <item x="0"/>
        <item x="1"/>
        <item x="3"/>
        <item t="default"/>
      </items>
    </pivotField>
    <pivotField axis="axisRow" numFmtId="14" showAll="0">
      <items count="7">
        <item x="0"/>
        <item x="1"/>
        <item x="2"/>
        <item x="3"/>
        <item x="4"/>
        <item x="5"/>
        <item t="default"/>
      </items>
    </pivotField>
    <pivotField showAll="0"/>
    <pivotField showAll="0"/>
    <pivotField showAll="0"/>
    <pivotField showAll="0"/>
    <pivotField showAll="0"/>
    <pivotField dataField="1" showAll="0"/>
    <pivotField showAll="0"/>
    <pivotField dataField="1" showAll="0"/>
    <pivotField numFmtId="9"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Fields count="1">
    <field x="-2"/>
  </colFields>
  <colItems count="2">
    <i>
      <x/>
    </i>
    <i i="1">
      <x v="1"/>
    </i>
  </colItems>
  <dataFields count="2">
    <dataField name="Sum of Revenue" fld="10" baseField="0" baseItem="0"/>
    <dataField name="Sum of profit" fld="12"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E910E6-1B0F-452E-BD2C-00180226CE62}" name="Profit by 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D7:E12" firstHeaderRow="1" firstDataRow="1" firstDataCol="1"/>
  <pivotFields count="22">
    <pivotField showAll="0"/>
    <pivotField showAll="0"/>
    <pivotField showAll="0">
      <items count="6">
        <item x="4"/>
        <item x="3"/>
        <item x="0"/>
        <item x="1"/>
        <item x="2"/>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numFmtId="14" showAll="0">
      <items count="7">
        <item x="0"/>
        <item x="1"/>
        <item x="2"/>
        <item x="3"/>
        <item x="4"/>
        <item x="5"/>
        <item t="default"/>
      </items>
    </pivotField>
    <pivotField showAll="0"/>
    <pivotField showAll="0"/>
    <pivotField showAll="0"/>
    <pivotField showAll="0"/>
    <pivotField showAll="0"/>
    <pivotField showAll="0"/>
    <pivotField showAll="0"/>
    <pivotField dataField="1" showAll="0"/>
    <pivotField numFmtId="9" showAll="0"/>
    <pivotField showAll="0"/>
    <pivotField showAll="0"/>
    <pivotField showAll="0"/>
    <pivotField showAll="0"/>
    <pivotField showAll="0"/>
    <pivotField showAll="0"/>
    <pivotField showAll="0"/>
    <pivotField showAll="0"/>
  </pivotFields>
  <rowFields count="1">
    <field x="3"/>
  </rowFields>
  <rowItems count="5">
    <i>
      <x v="2"/>
    </i>
    <i>
      <x v="3"/>
    </i>
    <i>
      <x/>
    </i>
    <i>
      <x v="1"/>
    </i>
    <i t="grand">
      <x/>
    </i>
  </rowItems>
  <colItems count="1">
    <i/>
  </colItems>
  <dataFields count="1">
    <dataField name="Sum of profit" fld="12"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AFF421-65A9-49AC-ADE7-E10D3589F852}" name="Inventory by Catego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7:B13" firstHeaderRow="1" firstDataRow="1" firstDataCol="1"/>
  <pivotFields count="22">
    <pivotField showAll="0"/>
    <pivotField showAll="0"/>
    <pivotField axis="axisRow" showAll="0" sortType="ascending">
      <items count="6">
        <item x="2"/>
        <item x="1"/>
        <item x="0"/>
        <item x="3"/>
        <item x="4"/>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numFmtId="14" showAll="0">
      <items count="7">
        <item x="0"/>
        <item x="1"/>
        <item x="2"/>
        <item x="3"/>
        <item x="4"/>
        <item x="5"/>
        <item t="default"/>
      </items>
    </pivotField>
    <pivotField showAll="0"/>
    <pivotField showAll="0"/>
    <pivotField dataField="1"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s>
  <rowFields count="1">
    <field x="2"/>
  </rowFields>
  <rowItems count="6">
    <i>
      <x v="1"/>
    </i>
    <i>
      <x v="2"/>
    </i>
    <i>
      <x v="4"/>
    </i>
    <i>
      <x v="3"/>
    </i>
    <i>
      <x/>
    </i>
    <i t="grand">
      <x/>
    </i>
  </rowItems>
  <colItems count="1">
    <i/>
  </colItems>
  <dataFields count="1">
    <dataField name="Sum of Closing_Stock" fld="7"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F28FEE-3380-4156-ABAA-E61CBEE1499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J4" firstHeaderRow="0" firstDataRow="1" firstDataCol="1"/>
  <pivotFields count="22">
    <pivotField dataField="1" showAll="0"/>
    <pivotField showAll="0"/>
    <pivotField showAll="0">
      <items count="6">
        <item x="4"/>
        <item x="3"/>
        <item x="0"/>
        <item x="1"/>
        <item x="2"/>
        <item t="default"/>
      </items>
    </pivotField>
    <pivotField showAll="0">
      <items count="5">
        <item x="2"/>
        <item x="0"/>
        <item x="1"/>
        <item x="3"/>
        <item t="default"/>
      </items>
    </pivotField>
    <pivotField numFmtId="14" showAll="0">
      <items count="7">
        <item x="0"/>
        <item x="1"/>
        <item x="2"/>
        <item x="3"/>
        <item x="4"/>
        <item x="5"/>
        <item t="default"/>
      </items>
    </pivotField>
    <pivotField showAll="0"/>
    <pivotField showAll="0"/>
    <pivotField dataField="1" showAll="0"/>
    <pivotField dataField="1" showAll="0"/>
    <pivotField showAll="0"/>
    <pivotField dataField="1" showAll="0"/>
    <pivotField dataField="1" showAll="0"/>
    <pivotField dataField="1" showAll="0"/>
    <pivotField numFmtId="9" showAll="0"/>
    <pivotField axis="axisRow" dataField="1" showAll="0">
      <items count="3">
        <item x="1"/>
        <item x="0"/>
        <item t="default"/>
      </items>
    </pivotField>
    <pivotField showAll="0"/>
    <pivotField showAll="0"/>
    <pivotField showAll="0"/>
    <pivotField dataField="1" showAll="0"/>
    <pivotField showAll="0"/>
    <pivotField dataField="1" showAll="0"/>
    <pivotField showAll="0"/>
  </pivotFields>
  <rowFields count="1">
    <field x="14"/>
  </rowFields>
  <rowItems count="3">
    <i>
      <x/>
    </i>
    <i>
      <x v="1"/>
    </i>
    <i t="grand">
      <x/>
    </i>
  </rowItems>
  <colFields count="1">
    <field x="-2"/>
  </colFields>
  <colItems count="9">
    <i>
      <x/>
    </i>
    <i i="1">
      <x v="1"/>
    </i>
    <i i="2">
      <x v="2"/>
    </i>
    <i i="3">
      <x v="3"/>
    </i>
    <i i="4">
      <x v="4"/>
    </i>
    <i i="5">
      <x v="5"/>
    </i>
    <i i="6">
      <x v="6"/>
    </i>
    <i i="7">
      <x v="7"/>
    </i>
    <i i="8">
      <x v="8"/>
    </i>
  </colItems>
  <dataFields count="9">
    <dataField name="Sum of Inventory_Value" fld="20" baseField="0" baseItem="0"/>
    <dataField name="Sum of profit" fld="12" baseField="0" baseItem="0"/>
    <dataField name="Sum of Revenue" fld="10" baseField="0" baseItem="0"/>
    <dataField name="Sum of Cost_Price" fld="8" baseField="0" baseItem="0"/>
    <dataField name="Sum of Closing_Stock" fld="7" baseField="0" baseItem="0"/>
    <dataField name="Average of Average_Inventory" fld="18" subtotal="average" baseField="0" baseItem="1"/>
    <dataField name="Count of Product_ID" fld="0" subtotal="count" baseField="0" baseItem="0"/>
    <dataField name="Count of Slow moving flag" fld="14" subtotal="count" baseField="0" baseItem="0"/>
    <dataField name="Sum of Total cost" fld="11" baseField="0" baseItem="0"/>
  </dataFields>
  <formats count="3">
    <format dxfId="11">
      <pivotArea field="14" grandRow="1" outline="0" collapsedLevelsAreSubtotals="1" axis="axisRow" fieldPosition="0">
        <references count="1">
          <reference field="4294967294" count="1" selected="0">
            <x v="0"/>
          </reference>
        </references>
      </pivotArea>
    </format>
    <format dxfId="10">
      <pivotArea field="14" grandRow="1" outline="0" collapsedLevelsAreSubtotals="1" axis="axisRow" fieldPosition="0">
        <references count="1">
          <reference field="4294967294" count="1" selected="0">
            <x v="2"/>
          </reference>
        </references>
      </pivotArea>
    </format>
    <format dxfId="9">
      <pivotArea field="14"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25BAD18-2985-40FE-9D75-15D4736414F9}" sourceName="Category">
  <pivotTables>
    <pivotTable tabId="6" name="PivotTable1"/>
    <pivotTable tabId="6" name="Inventory Aging"/>
    <pivotTable tabId="6" name="Inventory by Category"/>
    <pivotTable tabId="6" name="Profit by Region"/>
    <pivotTable tabId="6" name="Revenue &amp; Profit Trend"/>
  </pivotTables>
  <data>
    <tabular pivotCacheId="1013671306">
      <items count="5">
        <i x="4" s="1"/>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50E1387-303E-4C27-A1E6-6A7E9BA60F26}" sourceName="Region">
  <pivotTables>
    <pivotTable tabId="6" name="PivotTable1"/>
    <pivotTable tabId="6" name="Inventory Aging"/>
    <pivotTable tabId="6" name="Inventory by Category"/>
    <pivotTable tabId="6" name="Profit by Region"/>
    <pivotTable tabId="6" name="Revenue &amp; Profit Trend"/>
  </pivotTables>
  <data>
    <tabular pivotCacheId="1013671306">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E421F7A1-7E75-403D-BB19-B80653E60231}" sourceName="Month">
  <pivotTables>
    <pivotTable tabId="6" name="PivotTable1"/>
    <pivotTable tabId="6" name="Inventory Aging"/>
    <pivotTable tabId="6" name="Inventory by Category"/>
    <pivotTable tabId="6" name="Profit by Region"/>
    <pivotTable tabId="6" name="Revenue &amp; Profit Trend"/>
  </pivotTables>
  <data>
    <tabular pivotCacheId="1013671306">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D1B1B0A-24A0-4564-A55A-0711DD42C8E4}" cache="Slicer_Category1" caption="Category" rowHeight="241300"/>
  <slicer name="Region 1" xr10:uid="{137E258B-39ED-4D7E-B8B9-366DACE14070}" cache="Slicer_Region1" caption="Region" rowHeight="241300"/>
  <slicer name="Month 1" xr10:uid="{0E9894EF-A499-4877-9BEB-FD7A3F3587E4}" cache="Slicer_Month1"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7CCD443A-810C-481A-8E25-0732E71A8384}" cache="Slicer_Category1" caption="Category" columnCount="2" style="SlicerStyleDark1" rowHeight="241300"/>
  <slicer name="Region 2" xr10:uid="{6FA45A64-5AE4-411A-B1AB-F993E569DFB0}" cache="Slicer_Region1" caption="Region" columnCount="2" style="SlicerStyleDark1" rowHeight="241300"/>
  <slicer name="Month 2" xr10:uid="{0309E2B4-A7FB-4207-B0CB-CB4DC125BBC6}" cache="Slicer_Month1" caption="Month" columnCount="3"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45A427-01FD-40F1-AFE6-E36CD67B853F}" name="tbl_inventory" displayName="tbl_inventory" ref="A1:V481" totalsRowShown="0">
  <autoFilter ref="A1:V481" xr:uid="{CF45A427-01FD-40F1-AFE6-E36CD67B853F}"/>
  <tableColumns count="22">
    <tableColumn id="1" xr3:uid="{EE9BD7DF-4CA9-4F6C-9CDF-82D4E2D09ECE}" name="Product_ID" dataDxfId="15"/>
    <tableColumn id="2" xr3:uid="{595350E4-C1FA-405D-BC0E-A511375E7914}" name="Product_Name"/>
    <tableColumn id="3" xr3:uid="{98B5AD16-D2DE-4348-8011-8D1C0EB6A8A9}" name="Category"/>
    <tableColumn id="4" xr3:uid="{D3920D82-CDA9-469F-B26C-B37A619323BF}" name="Region"/>
    <tableColumn id="5" xr3:uid="{D5EF368C-40B9-4BE4-814E-9CC0DCD43826}" name="Month" dataDxfId="14"/>
    <tableColumn id="6" xr3:uid="{BF42CCA4-8B64-4D68-9183-63FEF79142A7}" name="Opening_Stock" dataDxfId="13"/>
    <tableColumn id="7" xr3:uid="{0F165C35-6302-4D17-AA56-5CC6EE4B1D41}" name="Units_Sold"/>
    <tableColumn id="8" xr3:uid="{3704E4E1-755B-4D7A-8C35-CA405ABACADF}" name="Closing_Stock"/>
    <tableColumn id="9" xr3:uid="{ECAC0598-0154-4359-852B-45F4C0BB93BB}" name="Cost_Price"/>
    <tableColumn id="10" xr3:uid="{24241B1E-CA47-464A-8AB4-89856413D0E1}" name="Selling_Price"/>
    <tableColumn id="11" xr3:uid="{BD53EDF7-1A50-40B3-87C2-7FBA12039BD6}" name="Revenue">
      <calculatedColumnFormula>G2*J2</calculatedColumnFormula>
    </tableColumn>
    <tableColumn id="12" xr3:uid="{227C7D82-4F8D-48D9-AD79-2481DFB2E749}" name="Total cost">
      <calculatedColumnFormula>G2*I2</calculatedColumnFormula>
    </tableColumn>
    <tableColumn id="13" xr3:uid="{C908E929-CB81-4BC2-B72C-3201C79E465A}" name="profit">
      <calculatedColumnFormula>K2-L2</calculatedColumnFormula>
    </tableColumn>
    <tableColumn id="14" xr3:uid="{17145553-59F0-4F2F-9168-5FD8A7161012}" name="Profit margin" dataDxfId="12">
      <calculatedColumnFormula>IF(K2=0,0,M2/K2)</calculatedColumnFormula>
    </tableColumn>
    <tableColumn id="15" xr3:uid="{92354C04-F2C5-4A0D-96F0-146AE0313355}" name="Slow moving flag">
      <calculatedColumnFormula>IF(G2&lt;20,"Slow Moving","Normal")</calculatedColumnFormula>
    </tableColumn>
    <tableColumn id="16" xr3:uid="{EE589100-B5B9-42DB-97B2-DDF33F0F3CB2}" name="Dead Stock flag">
      <calculatedColumnFormula>IF(G2=0,"Dead Stock","")</calculatedColumnFormula>
    </tableColumn>
    <tableColumn id="17" xr3:uid="{8B97E8DD-365E-473B-A61A-13C457EF80C8}" name="Low Margin Risk">
      <calculatedColumnFormula>IF(N2&lt;0.1,"Low Margin","")</calculatedColumnFormula>
    </tableColumn>
    <tableColumn id="18" xr3:uid="{966F9412-961B-4E53-A1C8-DC9EE9B6001D}" name="Overstock Risk"/>
    <tableColumn id="19" xr3:uid="{46A21F2C-15C0-4682-BA42-96A54886738E}" name="Average_Inventory">
      <calculatedColumnFormula>(F2+H2)/2</calculatedColumnFormula>
    </tableColumn>
    <tableColumn id="20" xr3:uid="{2FADD760-21E9-47B9-A885-86F67FE3A2EC}" name="Aging Bucket">
      <calculatedColumnFormula>IF(H2&gt;200,"90+ Days",
IF(H2&gt;100,"60-90 Days",
IF(H2&gt;50,"30-60 Days","0-30 Days")))</calculatedColumnFormula>
    </tableColumn>
    <tableColumn id="21" xr3:uid="{FE15C605-8489-47FE-A784-EE3737AE4BC4}" name="Inventory_Value">
      <calculatedColumnFormula>H2 * I2</calculatedColumnFormula>
    </tableColumn>
    <tableColumn id="22" xr3:uid="{6827B47A-5A2B-4C8B-BAEA-E1F008643144}" name="Total Revenue">
      <calculatedColumnFormula>tbl_inventory[[#This Row],[Units_Sold]]*tbl_inventory[[#This Row],[Revenue]]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94D5D-EC9D-4E44-8F39-480AE8EE8CFE}">
  <dimension ref="A1:V481"/>
  <sheetViews>
    <sheetView topLeftCell="G1" zoomScale="50" zoomScaleNormal="50" workbookViewId="0">
      <selection activeCell="J6" sqref="J6"/>
    </sheetView>
  </sheetViews>
  <sheetFormatPr defaultRowHeight="15" x14ac:dyDescent="0.25"/>
  <cols>
    <col min="1" max="1" width="21" bestFit="1" customWidth="1"/>
    <col min="2" max="2" width="25" bestFit="1" customWidth="1"/>
    <col min="3" max="3" width="18.140625" bestFit="1" customWidth="1"/>
    <col min="4" max="4" width="15.28515625" bestFit="1" customWidth="1"/>
    <col min="5" max="5" width="14.42578125" bestFit="1" customWidth="1"/>
    <col min="6" max="6" width="25.85546875" style="3" bestFit="1" customWidth="1"/>
    <col min="7" max="7" width="20.140625" bestFit="1" customWidth="1"/>
    <col min="8" max="8" width="24.7109375" bestFit="1" customWidth="1"/>
    <col min="9" max="9" width="20.7109375" bestFit="1" customWidth="1"/>
    <col min="10" max="10" width="23.85546875" bestFit="1" customWidth="1"/>
    <col min="11" max="11" width="17.28515625" bestFit="1" customWidth="1"/>
    <col min="12" max="12" width="19" bestFit="1" customWidth="1"/>
    <col min="13" max="13" width="14.140625" bestFit="1" customWidth="1"/>
    <col min="14" max="14" width="23.5703125" bestFit="1" customWidth="1"/>
    <col min="15" max="15" width="27.85546875" bestFit="1" customWidth="1"/>
    <col min="16" max="17" width="26.7109375" bestFit="1" customWidth="1"/>
    <col min="18" max="18" width="25.5703125" bestFit="1" customWidth="1"/>
    <col min="19" max="19" width="31" bestFit="1" customWidth="1"/>
    <col min="20" max="20" width="23.28515625" bestFit="1" customWidth="1"/>
    <col min="21" max="21" width="27.28515625" bestFit="1" customWidth="1"/>
    <col min="22" max="22" width="23.28515625" bestFit="1" customWidth="1"/>
  </cols>
  <sheetData>
    <row r="1" spans="1:22" x14ac:dyDescent="0.25">
      <c r="A1" t="s">
        <v>0</v>
      </c>
      <c r="B1" t="s">
        <v>1</v>
      </c>
      <c r="C1" t="s">
        <v>2</v>
      </c>
      <c r="D1" t="s">
        <v>3</v>
      </c>
      <c r="E1" t="s">
        <v>4</v>
      </c>
      <c r="F1" s="3" t="s">
        <v>5</v>
      </c>
      <c r="G1" t="s">
        <v>6</v>
      </c>
      <c r="H1" t="s">
        <v>7</v>
      </c>
      <c r="I1" t="s">
        <v>8</v>
      </c>
      <c r="J1" t="s">
        <v>9</v>
      </c>
      <c r="K1" t="s">
        <v>68</v>
      </c>
      <c r="L1" t="s">
        <v>69</v>
      </c>
      <c r="M1" t="s">
        <v>70</v>
      </c>
      <c r="N1" t="s">
        <v>71</v>
      </c>
      <c r="O1" t="s">
        <v>72</v>
      </c>
      <c r="P1" t="s">
        <v>73</v>
      </c>
      <c r="Q1" t="s">
        <v>74</v>
      </c>
      <c r="R1" t="s">
        <v>75</v>
      </c>
      <c r="S1" t="s">
        <v>83</v>
      </c>
      <c r="T1" t="s">
        <v>86</v>
      </c>
      <c r="U1" t="s">
        <v>87</v>
      </c>
      <c r="V1" t="s">
        <v>99</v>
      </c>
    </row>
    <row r="2" spans="1:22" x14ac:dyDescent="0.25">
      <c r="A2" s="2" t="s">
        <v>11</v>
      </c>
      <c r="B2" t="s">
        <v>39</v>
      </c>
      <c r="C2" t="s">
        <v>44</v>
      </c>
      <c r="D2" t="s">
        <v>64</v>
      </c>
      <c r="E2" s="2">
        <v>45658</v>
      </c>
      <c r="F2" s="3">
        <v>29</v>
      </c>
      <c r="G2">
        <v>2</v>
      </c>
      <c r="H2">
        <v>27</v>
      </c>
      <c r="I2">
        <v>40000</v>
      </c>
      <c r="J2">
        <v>50000</v>
      </c>
      <c r="K2">
        <f>G2*J2</f>
        <v>100000</v>
      </c>
      <c r="L2">
        <f>G2*I2</f>
        <v>80000</v>
      </c>
      <c r="M2">
        <f>K2-L2</f>
        <v>20000</v>
      </c>
      <c r="N2" s="4">
        <f>IF(K2=0,0,M2/K2)</f>
        <v>0.2</v>
      </c>
      <c r="O2" t="str">
        <f>IF(G2&lt;20,"Slow Moving","Normal")</f>
        <v>Slow Moving</v>
      </c>
      <c r="P2" t="str">
        <f>IF(G2=0,"Dead Stock","")</f>
        <v/>
      </c>
      <c r="Q2" t="str">
        <f>IF(N2&lt;0.1,"Low Margin","")</f>
        <v/>
      </c>
      <c r="S2">
        <f>(F2+H2)/2</f>
        <v>28</v>
      </c>
      <c r="T2" t="str">
        <f>IF(H2&gt;200,"90+ Days",
IF(H2&gt;100,"60-90 Days",
IF(H2&gt;50,"30-60 Days","0-30 Days")))</f>
        <v>0-30 Days</v>
      </c>
      <c r="U2">
        <f>H2 * I2</f>
        <v>1080000</v>
      </c>
      <c r="V2">
        <f>tbl_inventory[[#This Row],[Units_Sold]]*tbl_inventory[[#This Row],[Revenue]]</f>
        <v>200000</v>
      </c>
    </row>
    <row r="3" spans="1:22" x14ac:dyDescent="0.25">
      <c r="A3" s="2" t="s">
        <v>11</v>
      </c>
      <c r="B3" t="s">
        <v>39</v>
      </c>
      <c r="C3" t="s">
        <v>44</v>
      </c>
      <c r="D3" t="s">
        <v>64</v>
      </c>
      <c r="E3" s="2">
        <v>45689</v>
      </c>
      <c r="F3" s="3">
        <v>98</v>
      </c>
      <c r="G3">
        <v>42</v>
      </c>
      <c r="H3">
        <v>56</v>
      </c>
      <c r="I3">
        <v>40000</v>
      </c>
      <c r="J3">
        <v>50000</v>
      </c>
      <c r="K3">
        <f t="shared" ref="K3:K66" si="0">G3*J3</f>
        <v>2100000</v>
      </c>
      <c r="L3">
        <f t="shared" ref="L3:L66" si="1">G3*I3</f>
        <v>1680000</v>
      </c>
      <c r="M3">
        <f t="shared" ref="M3:M66" si="2">K3-L3</f>
        <v>420000</v>
      </c>
      <c r="N3" s="4">
        <f t="shared" ref="N3:N66" si="3">IF(K3=0,0,M3/K3)</f>
        <v>0.2</v>
      </c>
      <c r="O3" t="str">
        <f t="shared" ref="O3:O66" si="4">IF(G3&lt;20,"Slow Moving","Normal")</f>
        <v>Normal</v>
      </c>
      <c r="P3" t="str">
        <f t="shared" ref="P3:P66" si="5">IF(G3=0,"Dead Stock","")</f>
        <v/>
      </c>
      <c r="Q3" t="str">
        <f t="shared" ref="Q3:Q66" si="6">IF(N3&lt;0.1,"Low Margin","")</f>
        <v/>
      </c>
      <c r="S3">
        <f>(F3+H3)/2</f>
        <v>77</v>
      </c>
      <c r="T3" t="str">
        <f t="shared" ref="T3:T66" si="7">IF(H3&gt;200,"90+ Days",
IF(H3&gt;100,"60-90 Days",
IF(H3&gt;50,"30-60 Days","0-30 Days")))</f>
        <v>30-60 Days</v>
      </c>
      <c r="U3">
        <f t="shared" ref="U3:U66" si="8">H3 * I3</f>
        <v>2240000</v>
      </c>
      <c r="V3">
        <f>tbl_inventory[[#This Row],[Units_Sold]]*tbl_inventory[[#This Row],[Revenue]]</f>
        <v>88200000</v>
      </c>
    </row>
    <row r="4" spans="1:22" x14ac:dyDescent="0.25">
      <c r="A4" s="2" t="s">
        <v>11</v>
      </c>
      <c r="B4" t="s">
        <v>39</v>
      </c>
      <c r="C4" t="s">
        <v>44</v>
      </c>
      <c r="D4" t="s">
        <v>64</v>
      </c>
      <c r="E4" s="2">
        <v>45717</v>
      </c>
      <c r="F4" s="3">
        <v>60</v>
      </c>
      <c r="G4">
        <v>0</v>
      </c>
      <c r="H4">
        <v>60</v>
      </c>
      <c r="I4">
        <v>40000</v>
      </c>
      <c r="J4">
        <v>50000</v>
      </c>
      <c r="K4">
        <f t="shared" si="0"/>
        <v>0</v>
      </c>
      <c r="L4">
        <f t="shared" si="1"/>
        <v>0</v>
      </c>
      <c r="M4">
        <f t="shared" si="2"/>
        <v>0</v>
      </c>
      <c r="N4" s="4">
        <f t="shared" si="3"/>
        <v>0</v>
      </c>
      <c r="O4" t="str">
        <f t="shared" si="4"/>
        <v>Slow Moving</v>
      </c>
      <c r="P4" t="str">
        <f t="shared" si="5"/>
        <v>Dead Stock</v>
      </c>
      <c r="Q4" t="str">
        <f t="shared" si="6"/>
        <v>Low Margin</v>
      </c>
      <c r="S4">
        <f t="shared" ref="S4:S66" si="9">(F4+H4)/2</f>
        <v>60</v>
      </c>
      <c r="T4" t="str">
        <f t="shared" si="7"/>
        <v>30-60 Days</v>
      </c>
      <c r="U4">
        <f t="shared" si="8"/>
        <v>2400000</v>
      </c>
      <c r="V4">
        <f>tbl_inventory[[#This Row],[Units_Sold]]*tbl_inventory[[#This Row],[Revenue]]</f>
        <v>0</v>
      </c>
    </row>
    <row r="5" spans="1:22" x14ac:dyDescent="0.25">
      <c r="A5" s="2" t="s">
        <v>11</v>
      </c>
      <c r="B5" t="s">
        <v>39</v>
      </c>
      <c r="C5" t="s">
        <v>44</v>
      </c>
      <c r="D5" t="s">
        <v>64</v>
      </c>
      <c r="E5" s="2">
        <v>45748</v>
      </c>
      <c r="F5" s="3">
        <v>83</v>
      </c>
      <c r="G5">
        <v>82</v>
      </c>
      <c r="H5">
        <v>1</v>
      </c>
      <c r="I5">
        <v>40000</v>
      </c>
      <c r="J5">
        <v>50000</v>
      </c>
      <c r="K5">
        <f t="shared" si="0"/>
        <v>4100000</v>
      </c>
      <c r="L5">
        <f t="shared" si="1"/>
        <v>3280000</v>
      </c>
      <c r="M5">
        <f t="shared" si="2"/>
        <v>820000</v>
      </c>
      <c r="N5" s="4">
        <f t="shared" si="3"/>
        <v>0.2</v>
      </c>
      <c r="O5" t="str">
        <f t="shared" si="4"/>
        <v>Normal</v>
      </c>
      <c r="P5" t="str">
        <f t="shared" si="5"/>
        <v/>
      </c>
      <c r="Q5" t="str">
        <f t="shared" si="6"/>
        <v/>
      </c>
      <c r="S5">
        <f t="shared" si="9"/>
        <v>42</v>
      </c>
      <c r="T5" t="str">
        <f t="shared" si="7"/>
        <v>0-30 Days</v>
      </c>
      <c r="U5">
        <f t="shared" si="8"/>
        <v>40000</v>
      </c>
      <c r="V5">
        <f>tbl_inventory[[#This Row],[Units_Sold]]*tbl_inventory[[#This Row],[Revenue]]</f>
        <v>336200000</v>
      </c>
    </row>
    <row r="6" spans="1:22" x14ac:dyDescent="0.25">
      <c r="A6" s="2" t="s">
        <v>11</v>
      </c>
      <c r="B6" t="s">
        <v>39</v>
      </c>
      <c r="C6" t="s">
        <v>44</v>
      </c>
      <c r="D6" t="s">
        <v>64</v>
      </c>
      <c r="E6" s="2">
        <v>45778</v>
      </c>
      <c r="F6" s="3">
        <v>22</v>
      </c>
      <c r="G6">
        <v>0</v>
      </c>
      <c r="H6">
        <v>22</v>
      </c>
      <c r="I6">
        <v>40000</v>
      </c>
      <c r="J6">
        <v>50000</v>
      </c>
      <c r="K6">
        <f t="shared" si="0"/>
        <v>0</v>
      </c>
      <c r="L6">
        <f t="shared" si="1"/>
        <v>0</v>
      </c>
      <c r="M6">
        <f t="shared" si="2"/>
        <v>0</v>
      </c>
      <c r="N6" s="4">
        <f t="shared" si="3"/>
        <v>0</v>
      </c>
      <c r="O6" t="str">
        <f t="shared" si="4"/>
        <v>Slow Moving</v>
      </c>
      <c r="P6" t="str">
        <f t="shared" si="5"/>
        <v>Dead Stock</v>
      </c>
      <c r="Q6" t="str">
        <f t="shared" si="6"/>
        <v>Low Margin</v>
      </c>
      <c r="S6">
        <f t="shared" si="9"/>
        <v>22</v>
      </c>
      <c r="T6" t="str">
        <f t="shared" si="7"/>
        <v>0-30 Days</v>
      </c>
      <c r="U6">
        <f t="shared" si="8"/>
        <v>880000</v>
      </c>
      <c r="V6">
        <f>tbl_inventory[[#This Row],[Units_Sold]]*tbl_inventory[[#This Row],[Revenue]]</f>
        <v>0</v>
      </c>
    </row>
    <row r="7" spans="1:22" x14ac:dyDescent="0.25">
      <c r="A7" s="2" t="s">
        <v>11</v>
      </c>
      <c r="B7" t="s">
        <v>39</v>
      </c>
      <c r="C7" t="s">
        <v>44</v>
      </c>
      <c r="D7" t="s">
        <v>64</v>
      </c>
      <c r="E7" s="2">
        <v>45809</v>
      </c>
      <c r="F7" s="3">
        <v>79</v>
      </c>
      <c r="G7">
        <v>6</v>
      </c>
      <c r="H7">
        <v>73</v>
      </c>
      <c r="I7">
        <v>40000</v>
      </c>
      <c r="J7">
        <v>50000</v>
      </c>
      <c r="K7">
        <f t="shared" si="0"/>
        <v>300000</v>
      </c>
      <c r="L7">
        <f t="shared" si="1"/>
        <v>240000</v>
      </c>
      <c r="M7">
        <f t="shared" si="2"/>
        <v>60000</v>
      </c>
      <c r="N7" s="4">
        <f t="shared" si="3"/>
        <v>0.2</v>
      </c>
      <c r="O7" t="str">
        <f t="shared" si="4"/>
        <v>Slow Moving</v>
      </c>
      <c r="P7" t="str">
        <f t="shared" si="5"/>
        <v/>
      </c>
      <c r="Q7" t="str">
        <f t="shared" si="6"/>
        <v/>
      </c>
      <c r="S7">
        <f t="shared" si="9"/>
        <v>76</v>
      </c>
      <c r="T7" t="str">
        <f t="shared" si="7"/>
        <v>30-60 Days</v>
      </c>
      <c r="U7">
        <f t="shared" si="8"/>
        <v>2920000</v>
      </c>
      <c r="V7">
        <f>tbl_inventory[[#This Row],[Units_Sold]]*tbl_inventory[[#This Row],[Revenue]]</f>
        <v>1800000</v>
      </c>
    </row>
    <row r="8" spans="1:22" x14ac:dyDescent="0.25">
      <c r="A8" s="2" t="s">
        <v>11</v>
      </c>
      <c r="B8" t="s">
        <v>39</v>
      </c>
      <c r="C8" t="s">
        <v>44</v>
      </c>
      <c r="D8" t="s">
        <v>65</v>
      </c>
      <c r="E8" s="2">
        <v>45658</v>
      </c>
      <c r="F8" s="3">
        <v>32</v>
      </c>
      <c r="G8">
        <v>8</v>
      </c>
      <c r="H8">
        <v>24</v>
      </c>
      <c r="I8">
        <v>40000</v>
      </c>
      <c r="J8">
        <v>50000</v>
      </c>
      <c r="K8">
        <f t="shared" si="0"/>
        <v>400000</v>
      </c>
      <c r="L8">
        <f t="shared" si="1"/>
        <v>320000</v>
      </c>
      <c r="M8">
        <f t="shared" si="2"/>
        <v>80000</v>
      </c>
      <c r="N8" s="4">
        <f t="shared" si="3"/>
        <v>0.2</v>
      </c>
      <c r="O8" t="str">
        <f t="shared" si="4"/>
        <v>Slow Moving</v>
      </c>
      <c r="P8" t="str">
        <f t="shared" si="5"/>
        <v/>
      </c>
      <c r="Q8" t="str">
        <f t="shared" si="6"/>
        <v/>
      </c>
      <c r="S8">
        <f t="shared" si="9"/>
        <v>28</v>
      </c>
      <c r="T8" t="str">
        <f t="shared" si="7"/>
        <v>0-30 Days</v>
      </c>
      <c r="U8">
        <f t="shared" si="8"/>
        <v>960000</v>
      </c>
      <c r="V8">
        <f>tbl_inventory[[#This Row],[Units_Sold]]*tbl_inventory[[#This Row],[Revenue]]</f>
        <v>3200000</v>
      </c>
    </row>
    <row r="9" spans="1:22" x14ac:dyDescent="0.25">
      <c r="A9" s="2" t="s">
        <v>11</v>
      </c>
      <c r="B9" t="s">
        <v>39</v>
      </c>
      <c r="C9" t="s">
        <v>44</v>
      </c>
      <c r="D9" t="s">
        <v>65</v>
      </c>
      <c r="E9" s="2">
        <v>45689</v>
      </c>
      <c r="F9" s="3">
        <v>24</v>
      </c>
      <c r="G9">
        <v>7</v>
      </c>
      <c r="H9">
        <v>17</v>
      </c>
      <c r="I9">
        <v>40000</v>
      </c>
      <c r="J9">
        <v>50000</v>
      </c>
      <c r="K9">
        <f t="shared" si="0"/>
        <v>350000</v>
      </c>
      <c r="L9">
        <f t="shared" si="1"/>
        <v>280000</v>
      </c>
      <c r="M9">
        <f t="shared" si="2"/>
        <v>70000</v>
      </c>
      <c r="N9" s="4">
        <f t="shared" si="3"/>
        <v>0.2</v>
      </c>
      <c r="O9" t="str">
        <f t="shared" si="4"/>
        <v>Slow Moving</v>
      </c>
      <c r="P9" t="str">
        <f t="shared" si="5"/>
        <v/>
      </c>
      <c r="Q9" t="str">
        <f t="shared" si="6"/>
        <v/>
      </c>
      <c r="S9">
        <f t="shared" si="9"/>
        <v>20.5</v>
      </c>
      <c r="T9" t="str">
        <f t="shared" si="7"/>
        <v>0-30 Days</v>
      </c>
      <c r="U9">
        <f t="shared" si="8"/>
        <v>680000</v>
      </c>
      <c r="V9">
        <f>tbl_inventory[[#This Row],[Units_Sold]]*tbl_inventory[[#This Row],[Revenue]]</f>
        <v>2450000</v>
      </c>
    </row>
    <row r="10" spans="1:22" x14ac:dyDescent="0.25">
      <c r="A10" s="2" t="s">
        <v>11</v>
      </c>
      <c r="B10" t="s">
        <v>39</v>
      </c>
      <c r="C10" t="s">
        <v>44</v>
      </c>
      <c r="D10" t="s">
        <v>65</v>
      </c>
      <c r="E10" s="2">
        <v>45717</v>
      </c>
      <c r="F10" s="3">
        <v>31</v>
      </c>
      <c r="G10">
        <v>21</v>
      </c>
      <c r="H10">
        <v>10</v>
      </c>
      <c r="I10">
        <v>40000</v>
      </c>
      <c r="J10">
        <v>50000</v>
      </c>
      <c r="K10">
        <f t="shared" si="0"/>
        <v>1050000</v>
      </c>
      <c r="L10">
        <f t="shared" si="1"/>
        <v>840000</v>
      </c>
      <c r="M10">
        <f t="shared" si="2"/>
        <v>210000</v>
      </c>
      <c r="N10" s="4">
        <f t="shared" si="3"/>
        <v>0.2</v>
      </c>
      <c r="O10" t="str">
        <f t="shared" si="4"/>
        <v>Normal</v>
      </c>
      <c r="P10" t="str">
        <f t="shared" si="5"/>
        <v/>
      </c>
      <c r="Q10" t="str">
        <f t="shared" si="6"/>
        <v/>
      </c>
      <c r="S10">
        <f t="shared" si="9"/>
        <v>20.5</v>
      </c>
      <c r="T10" t="str">
        <f t="shared" si="7"/>
        <v>0-30 Days</v>
      </c>
      <c r="U10">
        <f t="shared" si="8"/>
        <v>400000</v>
      </c>
      <c r="V10">
        <f>tbl_inventory[[#This Row],[Units_Sold]]*tbl_inventory[[#This Row],[Revenue]]</f>
        <v>22050000</v>
      </c>
    </row>
    <row r="11" spans="1:22" x14ac:dyDescent="0.25">
      <c r="A11" s="2" t="s">
        <v>11</v>
      </c>
      <c r="B11" t="s">
        <v>39</v>
      </c>
      <c r="C11" t="s">
        <v>44</v>
      </c>
      <c r="D11" t="s">
        <v>65</v>
      </c>
      <c r="E11" s="2">
        <v>45748</v>
      </c>
      <c r="F11" s="3">
        <v>51</v>
      </c>
      <c r="G11">
        <v>17</v>
      </c>
      <c r="H11">
        <v>34</v>
      </c>
      <c r="I11">
        <v>40000</v>
      </c>
      <c r="J11">
        <v>50000</v>
      </c>
      <c r="K11">
        <f t="shared" si="0"/>
        <v>850000</v>
      </c>
      <c r="L11">
        <f t="shared" si="1"/>
        <v>680000</v>
      </c>
      <c r="M11">
        <f t="shared" si="2"/>
        <v>170000</v>
      </c>
      <c r="N11" s="4">
        <f t="shared" si="3"/>
        <v>0.2</v>
      </c>
      <c r="O11" t="str">
        <f t="shared" si="4"/>
        <v>Slow Moving</v>
      </c>
      <c r="P11" t="str">
        <f t="shared" si="5"/>
        <v/>
      </c>
      <c r="Q11" t="str">
        <f t="shared" si="6"/>
        <v/>
      </c>
      <c r="S11">
        <f t="shared" si="9"/>
        <v>42.5</v>
      </c>
      <c r="T11" t="str">
        <f t="shared" si="7"/>
        <v>0-30 Days</v>
      </c>
      <c r="U11">
        <f t="shared" si="8"/>
        <v>1360000</v>
      </c>
      <c r="V11">
        <f>tbl_inventory[[#This Row],[Units_Sold]]*tbl_inventory[[#This Row],[Revenue]]</f>
        <v>14450000</v>
      </c>
    </row>
    <row r="12" spans="1:22" x14ac:dyDescent="0.25">
      <c r="A12" s="2" t="s">
        <v>11</v>
      </c>
      <c r="B12" t="s">
        <v>39</v>
      </c>
      <c r="C12" t="s">
        <v>44</v>
      </c>
      <c r="D12" t="s">
        <v>65</v>
      </c>
      <c r="E12" s="2">
        <v>45778</v>
      </c>
      <c r="F12" s="3">
        <v>36</v>
      </c>
      <c r="G12">
        <v>27</v>
      </c>
      <c r="H12">
        <v>9</v>
      </c>
      <c r="I12">
        <v>40000</v>
      </c>
      <c r="J12">
        <v>50000</v>
      </c>
      <c r="K12">
        <f t="shared" si="0"/>
        <v>1350000</v>
      </c>
      <c r="L12">
        <f t="shared" si="1"/>
        <v>1080000</v>
      </c>
      <c r="M12">
        <f t="shared" si="2"/>
        <v>270000</v>
      </c>
      <c r="N12" s="4">
        <f t="shared" si="3"/>
        <v>0.2</v>
      </c>
      <c r="O12" t="str">
        <f t="shared" si="4"/>
        <v>Normal</v>
      </c>
      <c r="P12" t="str">
        <f>IF(G12=0,"Dead Stock","")</f>
        <v/>
      </c>
      <c r="Q12" t="str">
        <f t="shared" si="6"/>
        <v/>
      </c>
      <c r="S12">
        <f t="shared" si="9"/>
        <v>22.5</v>
      </c>
      <c r="T12" t="str">
        <f t="shared" si="7"/>
        <v>0-30 Days</v>
      </c>
      <c r="U12">
        <f t="shared" si="8"/>
        <v>360000</v>
      </c>
      <c r="V12">
        <f>tbl_inventory[[#This Row],[Units_Sold]]*tbl_inventory[[#This Row],[Revenue]]</f>
        <v>36450000</v>
      </c>
    </row>
    <row r="13" spans="1:22" x14ac:dyDescent="0.25">
      <c r="A13" s="2" t="s">
        <v>11</v>
      </c>
      <c r="B13" t="s">
        <v>39</v>
      </c>
      <c r="C13" t="s">
        <v>44</v>
      </c>
      <c r="D13" t="s">
        <v>65</v>
      </c>
      <c r="E13" s="2">
        <v>45809</v>
      </c>
      <c r="F13" s="3">
        <v>53</v>
      </c>
      <c r="G13">
        <v>14</v>
      </c>
      <c r="H13">
        <v>39</v>
      </c>
      <c r="I13">
        <v>40000</v>
      </c>
      <c r="J13">
        <v>50000</v>
      </c>
      <c r="K13">
        <f t="shared" si="0"/>
        <v>700000</v>
      </c>
      <c r="L13">
        <f t="shared" si="1"/>
        <v>560000</v>
      </c>
      <c r="M13">
        <f t="shared" si="2"/>
        <v>140000</v>
      </c>
      <c r="N13" s="4">
        <f t="shared" si="3"/>
        <v>0.2</v>
      </c>
      <c r="O13" t="str">
        <f t="shared" si="4"/>
        <v>Slow Moving</v>
      </c>
      <c r="P13" t="str">
        <f t="shared" si="5"/>
        <v/>
      </c>
      <c r="Q13" t="str">
        <f t="shared" si="6"/>
        <v/>
      </c>
      <c r="S13">
        <f t="shared" si="9"/>
        <v>46</v>
      </c>
      <c r="T13" t="str">
        <f t="shared" si="7"/>
        <v>0-30 Days</v>
      </c>
      <c r="U13">
        <f t="shared" si="8"/>
        <v>1560000</v>
      </c>
      <c r="V13">
        <f>tbl_inventory[[#This Row],[Units_Sold]]*tbl_inventory[[#This Row],[Revenue]]</f>
        <v>9800000</v>
      </c>
    </row>
    <row r="14" spans="1:22" x14ac:dyDescent="0.25">
      <c r="A14" s="2" t="s">
        <v>11</v>
      </c>
      <c r="B14" t="s">
        <v>39</v>
      </c>
      <c r="C14" t="s">
        <v>44</v>
      </c>
      <c r="D14" t="s">
        <v>66</v>
      </c>
      <c r="E14" s="2">
        <v>45658</v>
      </c>
      <c r="F14" s="3">
        <v>67</v>
      </c>
      <c r="G14">
        <v>27</v>
      </c>
      <c r="H14">
        <v>40</v>
      </c>
      <c r="I14">
        <v>40000</v>
      </c>
      <c r="J14">
        <v>50000</v>
      </c>
      <c r="K14">
        <f t="shared" si="0"/>
        <v>1350000</v>
      </c>
      <c r="L14">
        <f t="shared" si="1"/>
        <v>1080000</v>
      </c>
      <c r="M14">
        <f t="shared" si="2"/>
        <v>270000</v>
      </c>
      <c r="N14" s="4">
        <f t="shared" si="3"/>
        <v>0.2</v>
      </c>
      <c r="O14" t="str">
        <f t="shared" si="4"/>
        <v>Normal</v>
      </c>
      <c r="P14" t="str">
        <f t="shared" si="5"/>
        <v/>
      </c>
      <c r="Q14" t="str">
        <f t="shared" si="6"/>
        <v/>
      </c>
      <c r="S14">
        <f t="shared" si="9"/>
        <v>53.5</v>
      </c>
      <c r="T14" t="str">
        <f t="shared" si="7"/>
        <v>0-30 Days</v>
      </c>
      <c r="U14">
        <f t="shared" si="8"/>
        <v>1600000</v>
      </c>
      <c r="V14">
        <f>tbl_inventory[[#This Row],[Units_Sold]]*tbl_inventory[[#This Row],[Revenue]]</f>
        <v>36450000</v>
      </c>
    </row>
    <row r="15" spans="1:22" x14ac:dyDescent="0.25">
      <c r="A15" s="2" t="s">
        <v>11</v>
      </c>
      <c r="B15" t="s">
        <v>39</v>
      </c>
      <c r="C15" t="s">
        <v>44</v>
      </c>
      <c r="D15" t="s">
        <v>66</v>
      </c>
      <c r="E15" s="2">
        <v>45689</v>
      </c>
      <c r="F15" s="3">
        <v>95</v>
      </c>
      <c r="G15">
        <v>54</v>
      </c>
      <c r="H15">
        <v>41</v>
      </c>
      <c r="I15">
        <v>40000</v>
      </c>
      <c r="J15">
        <v>50000</v>
      </c>
      <c r="K15">
        <f t="shared" si="0"/>
        <v>2700000</v>
      </c>
      <c r="L15">
        <f t="shared" si="1"/>
        <v>2160000</v>
      </c>
      <c r="M15">
        <f t="shared" si="2"/>
        <v>540000</v>
      </c>
      <c r="N15" s="4">
        <f t="shared" si="3"/>
        <v>0.2</v>
      </c>
      <c r="O15" t="str">
        <f t="shared" si="4"/>
        <v>Normal</v>
      </c>
      <c r="P15" t="str">
        <f t="shared" si="5"/>
        <v/>
      </c>
      <c r="Q15" t="str">
        <f t="shared" si="6"/>
        <v/>
      </c>
      <c r="S15">
        <f t="shared" si="9"/>
        <v>68</v>
      </c>
      <c r="T15" t="str">
        <f t="shared" si="7"/>
        <v>0-30 Days</v>
      </c>
      <c r="U15">
        <f t="shared" si="8"/>
        <v>1640000</v>
      </c>
      <c r="V15">
        <f>tbl_inventory[[#This Row],[Units_Sold]]*tbl_inventory[[#This Row],[Revenue]]</f>
        <v>145800000</v>
      </c>
    </row>
    <row r="16" spans="1:22" x14ac:dyDescent="0.25">
      <c r="A16" s="2" t="s">
        <v>11</v>
      </c>
      <c r="B16" t="s">
        <v>39</v>
      </c>
      <c r="C16" t="s">
        <v>44</v>
      </c>
      <c r="D16" t="s">
        <v>66</v>
      </c>
      <c r="E16" s="2">
        <v>45717</v>
      </c>
      <c r="F16" s="3">
        <v>29</v>
      </c>
      <c r="G16">
        <v>15</v>
      </c>
      <c r="H16">
        <v>14</v>
      </c>
      <c r="I16">
        <v>40000</v>
      </c>
      <c r="J16">
        <v>50000</v>
      </c>
      <c r="K16">
        <f t="shared" si="0"/>
        <v>750000</v>
      </c>
      <c r="L16">
        <f t="shared" si="1"/>
        <v>600000</v>
      </c>
      <c r="M16">
        <f t="shared" si="2"/>
        <v>150000</v>
      </c>
      <c r="N16" s="4">
        <f t="shared" si="3"/>
        <v>0.2</v>
      </c>
      <c r="O16" t="str">
        <f t="shared" si="4"/>
        <v>Slow Moving</v>
      </c>
      <c r="P16" t="str">
        <f t="shared" si="5"/>
        <v/>
      </c>
      <c r="Q16" t="str">
        <f t="shared" si="6"/>
        <v/>
      </c>
      <c r="S16">
        <f t="shared" si="9"/>
        <v>21.5</v>
      </c>
      <c r="T16" t="str">
        <f t="shared" si="7"/>
        <v>0-30 Days</v>
      </c>
      <c r="U16">
        <f t="shared" si="8"/>
        <v>560000</v>
      </c>
      <c r="V16">
        <f>tbl_inventory[[#This Row],[Units_Sold]]*tbl_inventory[[#This Row],[Revenue]]</f>
        <v>11250000</v>
      </c>
    </row>
    <row r="17" spans="1:22" x14ac:dyDescent="0.25">
      <c r="A17" s="2" t="s">
        <v>11</v>
      </c>
      <c r="B17" t="s">
        <v>39</v>
      </c>
      <c r="C17" t="s">
        <v>44</v>
      </c>
      <c r="D17" t="s">
        <v>66</v>
      </c>
      <c r="E17" s="2">
        <v>45748</v>
      </c>
      <c r="F17" s="3">
        <v>70</v>
      </c>
      <c r="G17">
        <v>10</v>
      </c>
      <c r="H17">
        <v>60</v>
      </c>
      <c r="I17">
        <v>40000</v>
      </c>
      <c r="J17">
        <v>50000</v>
      </c>
      <c r="K17">
        <f t="shared" si="0"/>
        <v>500000</v>
      </c>
      <c r="L17">
        <f t="shared" si="1"/>
        <v>400000</v>
      </c>
      <c r="M17">
        <f t="shared" si="2"/>
        <v>100000</v>
      </c>
      <c r="N17" s="4">
        <f t="shared" si="3"/>
        <v>0.2</v>
      </c>
      <c r="O17" t="str">
        <f t="shared" si="4"/>
        <v>Slow Moving</v>
      </c>
      <c r="P17" t="str">
        <f t="shared" si="5"/>
        <v/>
      </c>
      <c r="Q17" t="str">
        <f t="shared" si="6"/>
        <v/>
      </c>
      <c r="S17">
        <f t="shared" si="9"/>
        <v>65</v>
      </c>
      <c r="T17" t="str">
        <f t="shared" si="7"/>
        <v>30-60 Days</v>
      </c>
      <c r="U17">
        <f t="shared" si="8"/>
        <v>2400000</v>
      </c>
      <c r="V17">
        <f>tbl_inventory[[#This Row],[Units_Sold]]*tbl_inventory[[#This Row],[Revenue]]</f>
        <v>5000000</v>
      </c>
    </row>
    <row r="18" spans="1:22" x14ac:dyDescent="0.25">
      <c r="A18" s="2" t="s">
        <v>11</v>
      </c>
      <c r="B18" t="s">
        <v>39</v>
      </c>
      <c r="C18" t="s">
        <v>44</v>
      </c>
      <c r="D18" t="s">
        <v>66</v>
      </c>
      <c r="E18" s="2">
        <v>45778</v>
      </c>
      <c r="F18" s="3">
        <v>21</v>
      </c>
      <c r="G18">
        <v>21</v>
      </c>
      <c r="H18">
        <v>0</v>
      </c>
      <c r="I18">
        <v>40000</v>
      </c>
      <c r="J18">
        <v>50000</v>
      </c>
      <c r="K18">
        <f t="shared" si="0"/>
        <v>1050000</v>
      </c>
      <c r="L18">
        <f t="shared" si="1"/>
        <v>840000</v>
      </c>
      <c r="M18">
        <f t="shared" si="2"/>
        <v>210000</v>
      </c>
      <c r="N18" s="4">
        <f t="shared" si="3"/>
        <v>0.2</v>
      </c>
      <c r="O18" t="str">
        <f t="shared" si="4"/>
        <v>Normal</v>
      </c>
      <c r="P18" t="str">
        <f t="shared" si="5"/>
        <v/>
      </c>
      <c r="Q18" t="str">
        <f t="shared" si="6"/>
        <v/>
      </c>
      <c r="S18">
        <f t="shared" si="9"/>
        <v>10.5</v>
      </c>
      <c r="T18" t="str">
        <f t="shared" si="7"/>
        <v>0-30 Days</v>
      </c>
      <c r="U18">
        <f t="shared" si="8"/>
        <v>0</v>
      </c>
      <c r="V18">
        <f>tbl_inventory[[#This Row],[Units_Sold]]*tbl_inventory[[#This Row],[Revenue]]</f>
        <v>22050000</v>
      </c>
    </row>
    <row r="19" spans="1:22" x14ac:dyDescent="0.25">
      <c r="A19" s="2" t="s">
        <v>11</v>
      </c>
      <c r="B19" t="s">
        <v>39</v>
      </c>
      <c r="C19" t="s">
        <v>44</v>
      </c>
      <c r="D19" t="s">
        <v>66</v>
      </c>
      <c r="E19" s="2">
        <v>45809</v>
      </c>
      <c r="F19" s="3">
        <v>75</v>
      </c>
      <c r="G19">
        <v>4</v>
      </c>
      <c r="H19">
        <v>71</v>
      </c>
      <c r="I19">
        <v>40000</v>
      </c>
      <c r="J19">
        <v>50000</v>
      </c>
      <c r="K19">
        <f t="shared" si="0"/>
        <v>200000</v>
      </c>
      <c r="L19">
        <f t="shared" si="1"/>
        <v>160000</v>
      </c>
      <c r="M19">
        <f t="shared" si="2"/>
        <v>40000</v>
      </c>
      <c r="N19" s="4">
        <f t="shared" si="3"/>
        <v>0.2</v>
      </c>
      <c r="O19" t="str">
        <f t="shared" si="4"/>
        <v>Slow Moving</v>
      </c>
      <c r="P19" t="str">
        <f t="shared" si="5"/>
        <v/>
      </c>
      <c r="Q19" t="str">
        <f t="shared" si="6"/>
        <v/>
      </c>
      <c r="S19">
        <f t="shared" si="9"/>
        <v>73</v>
      </c>
      <c r="T19" t="str">
        <f t="shared" si="7"/>
        <v>30-60 Days</v>
      </c>
      <c r="U19">
        <f t="shared" si="8"/>
        <v>2840000</v>
      </c>
      <c r="V19">
        <f>tbl_inventory[[#This Row],[Units_Sold]]*tbl_inventory[[#This Row],[Revenue]]</f>
        <v>800000</v>
      </c>
    </row>
    <row r="20" spans="1:22" x14ac:dyDescent="0.25">
      <c r="A20" s="2" t="s">
        <v>11</v>
      </c>
      <c r="B20" t="s">
        <v>39</v>
      </c>
      <c r="C20" t="s">
        <v>44</v>
      </c>
      <c r="D20" t="s">
        <v>67</v>
      </c>
      <c r="E20" s="2">
        <v>45658</v>
      </c>
      <c r="F20" s="3">
        <v>68</v>
      </c>
      <c r="G20">
        <v>21</v>
      </c>
      <c r="H20">
        <v>47</v>
      </c>
      <c r="I20">
        <v>40000</v>
      </c>
      <c r="J20">
        <v>50000</v>
      </c>
      <c r="K20">
        <f t="shared" si="0"/>
        <v>1050000</v>
      </c>
      <c r="L20">
        <f t="shared" si="1"/>
        <v>840000</v>
      </c>
      <c r="M20">
        <f t="shared" si="2"/>
        <v>210000</v>
      </c>
      <c r="N20" s="4">
        <f t="shared" si="3"/>
        <v>0.2</v>
      </c>
      <c r="O20" t="str">
        <f t="shared" si="4"/>
        <v>Normal</v>
      </c>
      <c r="P20" t="str">
        <f t="shared" si="5"/>
        <v/>
      </c>
      <c r="Q20" t="str">
        <f t="shared" si="6"/>
        <v/>
      </c>
      <c r="S20">
        <f t="shared" si="9"/>
        <v>57.5</v>
      </c>
      <c r="T20" t="str">
        <f t="shared" si="7"/>
        <v>0-30 Days</v>
      </c>
      <c r="U20">
        <f t="shared" si="8"/>
        <v>1880000</v>
      </c>
      <c r="V20">
        <f>tbl_inventory[[#This Row],[Units_Sold]]*tbl_inventory[[#This Row],[Revenue]]</f>
        <v>22050000</v>
      </c>
    </row>
    <row r="21" spans="1:22" x14ac:dyDescent="0.25">
      <c r="A21" s="2" t="s">
        <v>11</v>
      </c>
      <c r="B21" t="s">
        <v>39</v>
      </c>
      <c r="C21" t="s">
        <v>44</v>
      </c>
      <c r="D21" t="s">
        <v>67</v>
      </c>
      <c r="E21" s="2">
        <v>45689</v>
      </c>
      <c r="F21" s="3">
        <v>38</v>
      </c>
      <c r="G21">
        <v>9</v>
      </c>
      <c r="H21">
        <v>29</v>
      </c>
      <c r="I21">
        <v>40000</v>
      </c>
      <c r="J21">
        <v>50000</v>
      </c>
      <c r="K21">
        <f t="shared" si="0"/>
        <v>450000</v>
      </c>
      <c r="L21">
        <f t="shared" si="1"/>
        <v>360000</v>
      </c>
      <c r="M21">
        <f t="shared" si="2"/>
        <v>90000</v>
      </c>
      <c r="N21" s="4">
        <f t="shared" si="3"/>
        <v>0.2</v>
      </c>
      <c r="O21" t="str">
        <f t="shared" si="4"/>
        <v>Slow Moving</v>
      </c>
      <c r="P21" t="str">
        <f t="shared" si="5"/>
        <v/>
      </c>
      <c r="Q21" t="str">
        <f t="shared" si="6"/>
        <v/>
      </c>
      <c r="S21">
        <f t="shared" si="9"/>
        <v>33.5</v>
      </c>
      <c r="T21" t="str">
        <f t="shared" si="7"/>
        <v>0-30 Days</v>
      </c>
      <c r="U21">
        <f t="shared" si="8"/>
        <v>1160000</v>
      </c>
      <c r="V21">
        <f>tbl_inventory[[#This Row],[Units_Sold]]*tbl_inventory[[#This Row],[Revenue]]</f>
        <v>4050000</v>
      </c>
    </row>
    <row r="22" spans="1:22" x14ac:dyDescent="0.25">
      <c r="A22" s="2" t="s">
        <v>11</v>
      </c>
      <c r="B22" t="s">
        <v>39</v>
      </c>
      <c r="C22" t="s">
        <v>44</v>
      </c>
      <c r="D22" t="s">
        <v>67</v>
      </c>
      <c r="E22" s="2">
        <v>45717</v>
      </c>
      <c r="F22" s="3">
        <v>37</v>
      </c>
      <c r="G22">
        <v>13</v>
      </c>
      <c r="H22">
        <v>24</v>
      </c>
      <c r="I22">
        <v>40000</v>
      </c>
      <c r="J22">
        <v>50000</v>
      </c>
      <c r="K22">
        <f t="shared" si="0"/>
        <v>650000</v>
      </c>
      <c r="L22">
        <f t="shared" si="1"/>
        <v>520000</v>
      </c>
      <c r="M22">
        <f t="shared" si="2"/>
        <v>130000</v>
      </c>
      <c r="N22" s="4">
        <f t="shared" si="3"/>
        <v>0.2</v>
      </c>
      <c r="O22" t="str">
        <f t="shared" si="4"/>
        <v>Slow Moving</v>
      </c>
      <c r="P22" t="str">
        <f t="shared" si="5"/>
        <v/>
      </c>
      <c r="Q22" t="str">
        <f t="shared" si="6"/>
        <v/>
      </c>
      <c r="S22">
        <f t="shared" si="9"/>
        <v>30.5</v>
      </c>
      <c r="T22" t="str">
        <f t="shared" si="7"/>
        <v>0-30 Days</v>
      </c>
      <c r="U22">
        <f t="shared" si="8"/>
        <v>960000</v>
      </c>
      <c r="V22">
        <f>tbl_inventory[[#This Row],[Units_Sold]]*tbl_inventory[[#This Row],[Revenue]]</f>
        <v>8450000</v>
      </c>
    </row>
    <row r="23" spans="1:22" x14ac:dyDescent="0.25">
      <c r="A23" s="2" t="s">
        <v>11</v>
      </c>
      <c r="B23" t="s">
        <v>39</v>
      </c>
      <c r="C23" t="s">
        <v>44</v>
      </c>
      <c r="D23" t="s">
        <v>67</v>
      </c>
      <c r="E23" s="2">
        <v>45748</v>
      </c>
      <c r="F23" s="3">
        <v>78</v>
      </c>
      <c r="G23">
        <v>51</v>
      </c>
      <c r="H23">
        <v>27</v>
      </c>
      <c r="I23">
        <v>40000</v>
      </c>
      <c r="J23">
        <v>50000</v>
      </c>
      <c r="K23">
        <f t="shared" si="0"/>
        <v>2550000</v>
      </c>
      <c r="L23">
        <f t="shared" si="1"/>
        <v>2040000</v>
      </c>
      <c r="M23">
        <f t="shared" si="2"/>
        <v>510000</v>
      </c>
      <c r="N23" s="4">
        <f t="shared" si="3"/>
        <v>0.2</v>
      </c>
      <c r="O23" t="str">
        <f t="shared" si="4"/>
        <v>Normal</v>
      </c>
      <c r="P23" t="str">
        <f t="shared" si="5"/>
        <v/>
      </c>
      <c r="Q23" t="str">
        <f t="shared" si="6"/>
        <v/>
      </c>
      <c r="S23">
        <f t="shared" si="9"/>
        <v>52.5</v>
      </c>
      <c r="T23" t="str">
        <f t="shared" si="7"/>
        <v>0-30 Days</v>
      </c>
      <c r="U23">
        <f t="shared" si="8"/>
        <v>1080000</v>
      </c>
      <c r="V23">
        <f>tbl_inventory[[#This Row],[Units_Sold]]*tbl_inventory[[#This Row],[Revenue]]</f>
        <v>130050000</v>
      </c>
    </row>
    <row r="24" spans="1:22" x14ac:dyDescent="0.25">
      <c r="A24" s="2" t="s">
        <v>11</v>
      </c>
      <c r="B24" t="s">
        <v>39</v>
      </c>
      <c r="C24" t="s">
        <v>44</v>
      </c>
      <c r="D24" t="s">
        <v>67</v>
      </c>
      <c r="E24" s="2">
        <v>45778</v>
      </c>
      <c r="F24" s="3">
        <v>26</v>
      </c>
      <c r="G24">
        <v>13</v>
      </c>
      <c r="H24">
        <v>13</v>
      </c>
      <c r="I24">
        <v>40000</v>
      </c>
      <c r="J24">
        <v>50000</v>
      </c>
      <c r="K24">
        <f t="shared" si="0"/>
        <v>650000</v>
      </c>
      <c r="L24">
        <f t="shared" si="1"/>
        <v>520000</v>
      </c>
      <c r="M24">
        <f t="shared" si="2"/>
        <v>130000</v>
      </c>
      <c r="N24" s="4">
        <f t="shared" si="3"/>
        <v>0.2</v>
      </c>
      <c r="O24" t="str">
        <f t="shared" si="4"/>
        <v>Slow Moving</v>
      </c>
      <c r="P24" t="str">
        <f t="shared" si="5"/>
        <v/>
      </c>
      <c r="Q24" t="str">
        <f t="shared" si="6"/>
        <v/>
      </c>
      <c r="S24">
        <f t="shared" si="9"/>
        <v>19.5</v>
      </c>
      <c r="T24" t="str">
        <f t="shared" si="7"/>
        <v>0-30 Days</v>
      </c>
      <c r="U24">
        <f t="shared" si="8"/>
        <v>520000</v>
      </c>
      <c r="V24">
        <f>tbl_inventory[[#This Row],[Units_Sold]]*tbl_inventory[[#This Row],[Revenue]]</f>
        <v>8450000</v>
      </c>
    </row>
    <row r="25" spans="1:22" x14ac:dyDescent="0.25">
      <c r="A25" s="2" t="s">
        <v>11</v>
      </c>
      <c r="B25" t="s">
        <v>39</v>
      </c>
      <c r="C25" t="s">
        <v>44</v>
      </c>
      <c r="D25" t="s">
        <v>67</v>
      </c>
      <c r="E25" s="2">
        <v>45809</v>
      </c>
      <c r="F25" s="3">
        <v>51</v>
      </c>
      <c r="G25">
        <v>15</v>
      </c>
      <c r="H25">
        <v>36</v>
      </c>
      <c r="I25">
        <v>40000</v>
      </c>
      <c r="J25">
        <v>50000</v>
      </c>
      <c r="K25">
        <f t="shared" si="0"/>
        <v>750000</v>
      </c>
      <c r="L25">
        <f t="shared" si="1"/>
        <v>600000</v>
      </c>
      <c r="M25">
        <f t="shared" si="2"/>
        <v>150000</v>
      </c>
      <c r="N25" s="4">
        <f t="shared" si="3"/>
        <v>0.2</v>
      </c>
      <c r="O25" t="str">
        <f t="shared" si="4"/>
        <v>Slow Moving</v>
      </c>
      <c r="P25" t="str">
        <f t="shared" si="5"/>
        <v/>
      </c>
      <c r="Q25" t="str">
        <f t="shared" si="6"/>
        <v/>
      </c>
      <c r="S25">
        <f t="shared" si="9"/>
        <v>43.5</v>
      </c>
      <c r="T25" t="str">
        <f t="shared" si="7"/>
        <v>0-30 Days</v>
      </c>
      <c r="U25">
        <f t="shared" si="8"/>
        <v>1440000</v>
      </c>
      <c r="V25">
        <f>tbl_inventory[[#This Row],[Units_Sold]]*tbl_inventory[[#This Row],[Revenue]]</f>
        <v>11250000</v>
      </c>
    </row>
    <row r="26" spans="1:22" x14ac:dyDescent="0.25">
      <c r="A26" s="2" t="s">
        <v>10</v>
      </c>
      <c r="B26" t="s">
        <v>40</v>
      </c>
      <c r="C26" t="s">
        <v>44</v>
      </c>
      <c r="D26" t="s">
        <v>64</v>
      </c>
      <c r="E26" s="2">
        <v>45658</v>
      </c>
      <c r="F26" s="3">
        <v>49</v>
      </c>
      <c r="G26">
        <v>3</v>
      </c>
      <c r="H26">
        <v>46</v>
      </c>
      <c r="I26">
        <v>15000</v>
      </c>
      <c r="J26">
        <v>20000</v>
      </c>
      <c r="K26">
        <f t="shared" si="0"/>
        <v>60000</v>
      </c>
      <c r="L26">
        <f t="shared" si="1"/>
        <v>45000</v>
      </c>
      <c r="M26">
        <f t="shared" si="2"/>
        <v>15000</v>
      </c>
      <c r="N26" s="4">
        <f t="shared" si="3"/>
        <v>0.25</v>
      </c>
      <c r="O26" t="str">
        <f t="shared" si="4"/>
        <v>Slow Moving</v>
      </c>
      <c r="P26" t="str">
        <f t="shared" si="5"/>
        <v/>
      </c>
      <c r="Q26" t="str">
        <f t="shared" si="6"/>
        <v/>
      </c>
      <c r="S26">
        <f t="shared" si="9"/>
        <v>47.5</v>
      </c>
      <c r="T26" t="str">
        <f t="shared" si="7"/>
        <v>0-30 Days</v>
      </c>
      <c r="U26">
        <f t="shared" si="8"/>
        <v>690000</v>
      </c>
      <c r="V26">
        <f>tbl_inventory[[#This Row],[Units_Sold]]*tbl_inventory[[#This Row],[Revenue]]</f>
        <v>180000</v>
      </c>
    </row>
    <row r="27" spans="1:22" x14ac:dyDescent="0.25">
      <c r="A27" s="2" t="s">
        <v>10</v>
      </c>
      <c r="B27" t="s">
        <v>40</v>
      </c>
      <c r="C27" t="s">
        <v>44</v>
      </c>
      <c r="D27" t="s">
        <v>64</v>
      </c>
      <c r="E27" s="2">
        <v>45689</v>
      </c>
      <c r="F27" s="3">
        <v>31</v>
      </c>
      <c r="G27">
        <v>25</v>
      </c>
      <c r="H27">
        <v>6</v>
      </c>
      <c r="I27">
        <v>15000</v>
      </c>
      <c r="J27">
        <v>20000</v>
      </c>
      <c r="K27">
        <f t="shared" si="0"/>
        <v>500000</v>
      </c>
      <c r="L27">
        <f t="shared" si="1"/>
        <v>375000</v>
      </c>
      <c r="M27">
        <f t="shared" si="2"/>
        <v>125000</v>
      </c>
      <c r="N27" s="4">
        <f t="shared" si="3"/>
        <v>0.25</v>
      </c>
      <c r="O27" t="str">
        <f t="shared" si="4"/>
        <v>Normal</v>
      </c>
      <c r="P27" t="str">
        <f t="shared" si="5"/>
        <v/>
      </c>
      <c r="Q27" t="str">
        <f t="shared" si="6"/>
        <v/>
      </c>
      <c r="S27">
        <f t="shared" si="9"/>
        <v>18.5</v>
      </c>
      <c r="T27" t="str">
        <f t="shared" si="7"/>
        <v>0-30 Days</v>
      </c>
      <c r="U27">
        <f t="shared" si="8"/>
        <v>90000</v>
      </c>
      <c r="V27">
        <f>tbl_inventory[[#This Row],[Units_Sold]]*tbl_inventory[[#This Row],[Revenue]]</f>
        <v>12500000</v>
      </c>
    </row>
    <row r="28" spans="1:22" x14ac:dyDescent="0.25">
      <c r="A28" s="2" t="s">
        <v>10</v>
      </c>
      <c r="B28" t="s">
        <v>40</v>
      </c>
      <c r="C28" t="s">
        <v>44</v>
      </c>
      <c r="D28" t="s">
        <v>64</v>
      </c>
      <c r="E28" s="2">
        <v>45717</v>
      </c>
      <c r="F28" s="3">
        <v>87</v>
      </c>
      <c r="G28">
        <v>8</v>
      </c>
      <c r="H28">
        <v>79</v>
      </c>
      <c r="I28">
        <v>15000</v>
      </c>
      <c r="J28">
        <v>20000</v>
      </c>
      <c r="K28">
        <f t="shared" si="0"/>
        <v>160000</v>
      </c>
      <c r="L28">
        <f t="shared" si="1"/>
        <v>120000</v>
      </c>
      <c r="M28">
        <f t="shared" si="2"/>
        <v>40000</v>
      </c>
      <c r="N28" s="4">
        <f t="shared" si="3"/>
        <v>0.25</v>
      </c>
      <c r="O28" t="str">
        <f t="shared" si="4"/>
        <v>Slow Moving</v>
      </c>
      <c r="P28" t="str">
        <f t="shared" si="5"/>
        <v/>
      </c>
      <c r="Q28" t="str">
        <f t="shared" si="6"/>
        <v/>
      </c>
      <c r="S28">
        <f t="shared" si="9"/>
        <v>83</v>
      </c>
      <c r="T28" t="str">
        <f t="shared" si="7"/>
        <v>30-60 Days</v>
      </c>
      <c r="U28">
        <f t="shared" si="8"/>
        <v>1185000</v>
      </c>
      <c r="V28">
        <f>tbl_inventory[[#This Row],[Units_Sold]]*tbl_inventory[[#This Row],[Revenue]]</f>
        <v>1280000</v>
      </c>
    </row>
    <row r="29" spans="1:22" x14ac:dyDescent="0.25">
      <c r="A29" s="2" t="s">
        <v>10</v>
      </c>
      <c r="B29" t="s">
        <v>40</v>
      </c>
      <c r="C29" t="s">
        <v>44</v>
      </c>
      <c r="D29" t="s">
        <v>64</v>
      </c>
      <c r="E29" s="2">
        <v>45748</v>
      </c>
      <c r="F29" s="3">
        <v>67</v>
      </c>
      <c r="G29">
        <v>3</v>
      </c>
      <c r="H29">
        <v>64</v>
      </c>
      <c r="I29">
        <v>15000</v>
      </c>
      <c r="J29">
        <v>20000</v>
      </c>
      <c r="K29">
        <f t="shared" si="0"/>
        <v>60000</v>
      </c>
      <c r="L29">
        <f t="shared" si="1"/>
        <v>45000</v>
      </c>
      <c r="M29">
        <f t="shared" si="2"/>
        <v>15000</v>
      </c>
      <c r="N29" s="4">
        <f t="shared" si="3"/>
        <v>0.25</v>
      </c>
      <c r="O29" t="str">
        <f t="shared" si="4"/>
        <v>Slow Moving</v>
      </c>
      <c r="P29" t="str">
        <f t="shared" si="5"/>
        <v/>
      </c>
      <c r="Q29" t="str">
        <f t="shared" si="6"/>
        <v/>
      </c>
      <c r="S29">
        <f t="shared" si="9"/>
        <v>65.5</v>
      </c>
      <c r="T29" t="str">
        <f t="shared" si="7"/>
        <v>30-60 Days</v>
      </c>
      <c r="U29">
        <f t="shared" si="8"/>
        <v>960000</v>
      </c>
      <c r="V29">
        <f>tbl_inventory[[#This Row],[Units_Sold]]*tbl_inventory[[#This Row],[Revenue]]</f>
        <v>180000</v>
      </c>
    </row>
    <row r="30" spans="1:22" x14ac:dyDescent="0.25">
      <c r="A30" s="2" t="s">
        <v>10</v>
      </c>
      <c r="B30" t="s">
        <v>40</v>
      </c>
      <c r="C30" t="s">
        <v>44</v>
      </c>
      <c r="D30" t="s">
        <v>64</v>
      </c>
      <c r="E30" s="2">
        <v>45778</v>
      </c>
      <c r="F30" s="3">
        <v>99</v>
      </c>
      <c r="G30">
        <v>5</v>
      </c>
      <c r="H30">
        <v>94</v>
      </c>
      <c r="I30">
        <v>15000</v>
      </c>
      <c r="J30">
        <v>20000</v>
      </c>
      <c r="K30">
        <f t="shared" si="0"/>
        <v>100000</v>
      </c>
      <c r="L30">
        <f t="shared" si="1"/>
        <v>75000</v>
      </c>
      <c r="M30">
        <f t="shared" si="2"/>
        <v>25000</v>
      </c>
      <c r="N30" s="4">
        <f t="shared" si="3"/>
        <v>0.25</v>
      </c>
      <c r="O30" t="str">
        <f t="shared" si="4"/>
        <v>Slow Moving</v>
      </c>
      <c r="P30" t="str">
        <f t="shared" si="5"/>
        <v/>
      </c>
      <c r="Q30" t="str">
        <f t="shared" si="6"/>
        <v/>
      </c>
      <c r="S30">
        <f t="shared" si="9"/>
        <v>96.5</v>
      </c>
      <c r="T30" t="str">
        <f t="shared" si="7"/>
        <v>30-60 Days</v>
      </c>
      <c r="U30">
        <f t="shared" si="8"/>
        <v>1410000</v>
      </c>
      <c r="V30">
        <f>tbl_inventory[[#This Row],[Units_Sold]]*tbl_inventory[[#This Row],[Revenue]]</f>
        <v>500000</v>
      </c>
    </row>
    <row r="31" spans="1:22" x14ac:dyDescent="0.25">
      <c r="A31" s="2" t="s">
        <v>10</v>
      </c>
      <c r="B31" t="s">
        <v>40</v>
      </c>
      <c r="C31" t="s">
        <v>44</v>
      </c>
      <c r="D31" t="s">
        <v>64</v>
      </c>
      <c r="E31" s="2">
        <v>45809</v>
      </c>
      <c r="F31" s="3">
        <v>58</v>
      </c>
      <c r="G31">
        <v>25</v>
      </c>
      <c r="H31">
        <v>33</v>
      </c>
      <c r="I31">
        <v>15000</v>
      </c>
      <c r="J31">
        <v>20000</v>
      </c>
      <c r="K31">
        <f t="shared" si="0"/>
        <v>500000</v>
      </c>
      <c r="L31">
        <f t="shared" si="1"/>
        <v>375000</v>
      </c>
      <c r="M31">
        <f t="shared" si="2"/>
        <v>125000</v>
      </c>
      <c r="N31" s="4">
        <f t="shared" si="3"/>
        <v>0.25</v>
      </c>
      <c r="O31" t="str">
        <f t="shared" si="4"/>
        <v>Normal</v>
      </c>
      <c r="P31" t="str">
        <f t="shared" si="5"/>
        <v/>
      </c>
      <c r="Q31" t="str">
        <f t="shared" si="6"/>
        <v/>
      </c>
      <c r="S31">
        <f t="shared" si="9"/>
        <v>45.5</v>
      </c>
      <c r="T31" t="str">
        <f t="shared" si="7"/>
        <v>0-30 Days</v>
      </c>
      <c r="U31">
        <f t="shared" si="8"/>
        <v>495000</v>
      </c>
      <c r="V31">
        <f>tbl_inventory[[#This Row],[Units_Sold]]*tbl_inventory[[#This Row],[Revenue]]</f>
        <v>12500000</v>
      </c>
    </row>
    <row r="32" spans="1:22" x14ac:dyDescent="0.25">
      <c r="A32" s="2" t="s">
        <v>10</v>
      </c>
      <c r="B32" t="s">
        <v>40</v>
      </c>
      <c r="C32" t="s">
        <v>44</v>
      </c>
      <c r="D32" t="s">
        <v>65</v>
      </c>
      <c r="E32" s="2">
        <v>45658</v>
      </c>
      <c r="F32" s="3">
        <v>69</v>
      </c>
      <c r="G32">
        <v>39</v>
      </c>
      <c r="H32">
        <v>30</v>
      </c>
      <c r="I32">
        <v>15000</v>
      </c>
      <c r="J32">
        <v>20000</v>
      </c>
      <c r="K32">
        <f t="shared" si="0"/>
        <v>780000</v>
      </c>
      <c r="L32">
        <f t="shared" si="1"/>
        <v>585000</v>
      </c>
      <c r="M32">
        <f t="shared" si="2"/>
        <v>195000</v>
      </c>
      <c r="N32" s="4">
        <f t="shared" si="3"/>
        <v>0.25</v>
      </c>
      <c r="O32" t="str">
        <f t="shared" si="4"/>
        <v>Normal</v>
      </c>
      <c r="P32" t="str">
        <f t="shared" si="5"/>
        <v/>
      </c>
      <c r="Q32" t="str">
        <f t="shared" si="6"/>
        <v/>
      </c>
      <c r="S32">
        <f t="shared" si="9"/>
        <v>49.5</v>
      </c>
      <c r="T32" t="str">
        <f t="shared" si="7"/>
        <v>0-30 Days</v>
      </c>
      <c r="U32">
        <f t="shared" si="8"/>
        <v>450000</v>
      </c>
      <c r="V32">
        <f>tbl_inventory[[#This Row],[Units_Sold]]*tbl_inventory[[#This Row],[Revenue]]</f>
        <v>30420000</v>
      </c>
    </row>
    <row r="33" spans="1:22" x14ac:dyDescent="0.25">
      <c r="A33" s="2" t="s">
        <v>10</v>
      </c>
      <c r="B33" t="s">
        <v>40</v>
      </c>
      <c r="C33" t="s">
        <v>44</v>
      </c>
      <c r="D33" t="s">
        <v>65</v>
      </c>
      <c r="E33" s="2">
        <v>45689</v>
      </c>
      <c r="F33" s="3">
        <v>82</v>
      </c>
      <c r="G33">
        <v>72</v>
      </c>
      <c r="H33">
        <v>10</v>
      </c>
      <c r="I33">
        <v>15000</v>
      </c>
      <c r="J33">
        <v>20000</v>
      </c>
      <c r="K33">
        <f t="shared" si="0"/>
        <v>1440000</v>
      </c>
      <c r="L33">
        <f t="shared" si="1"/>
        <v>1080000</v>
      </c>
      <c r="M33">
        <f t="shared" si="2"/>
        <v>360000</v>
      </c>
      <c r="N33" s="4">
        <f t="shared" si="3"/>
        <v>0.25</v>
      </c>
      <c r="O33" t="str">
        <f t="shared" si="4"/>
        <v>Normal</v>
      </c>
      <c r="P33" t="str">
        <f t="shared" si="5"/>
        <v/>
      </c>
      <c r="Q33" t="str">
        <f t="shared" si="6"/>
        <v/>
      </c>
      <c r="S33">
        <f t="shared" si="9"/>
        <v>46</v>
      </c>
      <c r="T33" t="str">
        <f t="shared" si="7"/>
        <v>0-30 Days</v>
      </c>
      <c r="U33">
        <f t="shared" si="8"/>
        <v>150000</v>
      </c>
      <c r="V33">
        <f>tbl_inventory[[#This Row],[Units_Sold]]*tbl_inventory[[#This Row],[Revenue]]</f>
        <v>103680000</v>
      </c>
    </row>
    <row r="34" spans="1:22" x14ac:dyDescent="0.25">
      <c r="A34" s="2" t="s">
        <v>10</v>
      </c>
      <c r="B34" t="s">
        <v>40</v>
      </c>
      <c r="C34" t="s">
        <v>44</v>
      </c>
      <c r="D34" t="s">
        <v>65</v>
      </c>
      <c r="E34" s="2">
        <v>45717</v>
      </c>
      <c r="F34" s="3">
        <v>56</v>
      </c>
      <c r="G34">
        <v>2</v>
      </c>
      <c r="H34">
        <v>54</v>
      </c>
      <c r="I34">
        <v>15000</v>
      </c>
      <c r="J34">
        <v>20000</v>
      </c>
      <c r="K34">
        <f t="shared" si="0"/>
        <v>40000</v>
      </c>
      <c r="L34">
        <f t="shared" si="1"/>
        <v>30000</v>
      </c>
      <c r="M34">
        <f t="shared" si="2"/>
        <v>10000</v>
      </c>
      <c r="N34" s="4">
        <f t="shared" si="3"/>
        <v>0.25</v>
      </c>
      <c r="O34" t="str">
        <f t="shared" si="4"/>
        <v>Slow Moving</v>
      </c>
      <c r="P34" t="str">
        <f t="shared" si="5"/>
        <v/>
      </c>
      <c r="Q34" t="str">
        <f t="shared" si="6"/>
        <v/>
      </c>
      <c r="S34">
        <f t="shared" si="9"/>
        <v>55</v>
      </c>
      <c r="T34" t="str">
        <f t="shared" si="7"/>
        <v>30-60 Days</v>
      </c>
      <c r="U34">
        <f t="shared" si="8"/>
        <v>810000</v>
      </c>
      <c r="V34">
        <f>tbl_inventory[[#This Row],[Units_Sold]]*tbl_inventory[[#This Row],[Revenue]]</f>
        <v>80000</v>
      </c>
    </row>
    <row r="35" spans="1:22" x14ac:dyDescent="0.25">
      <c r="A35" s="2" t="s">
        <v>10</v>
      </c>
      <c r="B35" t="s">
        <v>40</v>
      </c>
      <c r="C35" t="s">
        <v>44</v>
      </c>
      <c r="D35" t="s">
        <v>65</v>
      </c>
      <c r="E35" s="2">
        <v>45748</v>
      </c>
      <c r="F35" s="3">
        <v>25</v>
      </c>
      <c r="G35">
        <v>24</v>
      </c>
      <c r="H35">
        <v>1</v>
      </c>
      <c r="I35">
        <v>15000</v>
      </c>
      <c r="J35">
        <v>20000</v>
      </c>
      <c r="K35">
        <f t="shared" si="0"/>
        <v>480000</v>
      </c>
      <c r="L35">
        <f t="shared" si="1"/>
        <v>360000</v>
      </c>
      <c r="M35">
        <f t="shared" si="2"/>
        <v>120000</v>
      </c>
      <c r="N35" s="4">
        <f t="shared" si="3"/>
        <v>0.25</v>
      </c>
      <c r="O35" t="str">
        <f t="shared" si="4"/>
        <v>Normal</v>
      </c>
      <c r="P35" t="str">
        <f t="shared" si="5"/>
        <v/>
      </c>
      <c r="Q35" t="str">
        <f t="shared" si="6"/>
        <v/>
      </c>
      <c r="S35">
        <f t="shared" si="9"/>
        <v>13</v>
      </c>
      <c r="T35" t="str">
        <f t="shared" si="7"/>
        <v>0-30 Days</v>
      </c>
      <c r="U35">
        <f t="shared" si="8"/>
        <v>15000</v>
      </c>
      <c r="V35">
        <f>tbl_inventory[[#This Row],[Units_Sold]]*tbl_inventory[[#This Row],[Revenue]]</f>
        <v>11520000</v>
      </c>
    </row>
    <row r="36" spans="1:22" x14ac:dyDescent="0.25">
      <c r="A36" s="2" t="s">
        <v>10</v>
      </c>
      <c r="B36" t="s">
        <v>40</v>
      </c>
      <c r="C36" t="s">
        <v>44</v>
      </c>
      <c r="D36" t="s">
        <v>65</v>
      </c>
      <c r="E36" s="2">
        <v>45778</v>
      </c>
      <c r="F36" s="3">
        <v>38</v>
      </c>
      <c r="G36">
        <v>36</v>
      </c>
      <c r="H36">
        <v>2</v>
      </c>
      <c r="I36">
        <v>15000</v>
      </c>
      <c r="J36">
        <v>20000</v>
      </c>
      <c r="K36">
        <f t="shared" si="0"/>
        <v>720000</v>
      </c>
      <c r="L36">
        <f t="shared" si="1"/>
        <v>540000</v>
      </c>
      <c r="M36">
        <f t="shared" si="2"/>
        <v>180000</v>
      </c>
      <c r="N36" s="4">
        <f t="shared" si="3"/>
        <v>0.25</v>
      </c>
      <c r="O36" t="str">
        <f t="shared" si="4"/>
        <v>Normal</v>
      </c>
      <c r="P36" t="str">
        <f t="shared" si="5"/>
        <v/>
      </c>
      <c r="Q36" t="str">
        <f t="shared" si="6"/>
        <v/>
      </c>
      <c r="S36">
        <f t="shared" si="9"/>
        <v>20</v>
      </c>
      <c r="T36" t="str">
        <f t="shared" si="7"/>
        <v>0-30 Days</v>
      </c>
      <c r="U36">
        <f t="shared" si="8"/>
        <v>30000</v>
      </c>
      <c r="V36">
        <f>tbl_inventory[[#This Row],[Units_Sold]]*tbl_inventory[[#This Row],[Revenue]]</f>
        <v>25920000</v>
      </c>
    </row>
    <row r="37" spans="1:22" x14ac:dyDescent="0.25">
      <c r="A37" s="2" t="s">
        <v>10</v>
      </c>
      <c r="B37" t="s">
        <v>40</v>
      </c>
      <c r="C37" t="s">
        <v>44</v>
      </c>
      <c r="D37" t="s">
        <v>65</v>
      </c>
      <c r="E37" s="2">
        <v>45809</v>
      </c>
      <c r="F37" s="3">
        <v>51</v>
      </c>
      <c r="G37">
        <v>31</v>
      </c>
      <c r="H37">
        <v>20</v>
      </c>
      <c r="I37">
        <v>15000</v>
      </c>
      <c r="J37">
        <v>20000</v>
      </c>
      <c r="K37">
        <f t="shared" si="0"/>
        <v>620000</v>
      </c>
      <c r="L37">
        <f t="shared" si="1"/>
        <v>465000</v>
      </c>
      <c r="M37">
        <f t="shared" si="2"/>
        <v>155000</v>
      </c>
      <c r="N37" s="4">
        <f t="shared" si="3"/>
        <v>0.25</v>
      </c>
      <c r="O37" t="str">
        <f t="shared" si="4"/>
        <v>Normal</v>
      </c>
      <c r="P37" t="str">
        <f t="shared" si="5"/>
        <v/>
      </c>
      <c r="Q37" t="str">
        <f t="shared" si="6"/>
        <v/>
      </c>
      <c r="S37">
        <f t="shared" si="9"/>
        <v>35.5</v>
      </c>
      <c r="T37" t="str">
        <f t="shared" si="7"/>
        <v>0-30 Days</v>
      </c>
      <c r="U37">
        <f t="shared" si="8"/>
        <v>300000</v>
      </c>
      <c r="V37">
        <f>tbl_inventory[[#This Row],[Units_Sold]]*tbl_inventory[[#This Row],[Revenue]]</f>
        <v>19220000</v>
      </c>
    </row>
    <row r="38" spans="1:22" x14ac:dyDescent="0.25">
      <c r="A38" s="2" t="s">
        <v>10</v>
      </c>
      <c r="B38" t="s">
        <v>40</v>
      </c>
      <c r="C38" t="s">
        <v>44</v>
      </c>
      <c r="D38" t="s">
        <v>66</v>
      </c>
      <c r="E38" s="2">
        <v>45658</v>
      </c>
      <c r="F38" s="3">
        <v>44</v>
      </c>
      <c r="G38">
        <v>10</v>
      </c>
      <c r="H38">
        <v>34</v>
      </c>
      <c r="I38">
        <v>15000</v>
      </c>
      <c r="J38">
        <v>20000</v>
      </c>
      <c r="K38">
        <f t="shared" si="0"/>
        <v>200000</v>
      </c>
      <c r="L38">
        <f t="shared" si="1"/>
        <v>150000</v>
      </c>
      <c r="M38">
        <f t="shared" si="2"/>
        <v>50000</v>
      </c>
      <c r="N38" s="4">
        <f t="shared" si="3"/>
        <v>0.25</v>
      </c>
      <c r="O38" t="str">
        <f t="shared" si="4"/>
        <v>Slow Moving</v>
      </c>
      <c r="P38" t="str">
        <f t="shared" si="5"/>
        <v/>
      </c>
      <c r="Q38" t="str">
        <f t="shared" si="6"/>
        <v/>
      </c>
      <c r="S38">
        <f t="shared" si="9"/>
        <v>39</v>
      </c>
      <c r="T38" t="str">
        <f t="shared" si="7"/>
        <v>0-30 Days</v>
      </c>
      <c r="U38">
        <f t="shared" si="8"/>
        <v>510000</v>
      </c>
      <c r="V38">
        <f>tbl_inventory[[#This Row],[Units_Sold]]*tbl_inventory[[#This Row],[Revenue]]</f>
        <v>2000000</v>
      </c>
    </row>
    <row r="39" spans="1:22" x14ac:dyDescent="0.25">
      <c r="A39" s="2" t="s">
        <v>10</v>
      </c>
      <c r="B39" t="s">
        <v>40</v>
      </c>
      <c r="C39" t="s">
        <v>44</v>
      </c>
      <c r="D39" t="s">
        <v>66</v>
      </c>
      <c r="E39" s="2">
        <v>45689</v>
      </c>
      <c r="F39" s="3">
        <v>38</v>
      </c>
      <c r="G39">
        <v>26</v>
      </c>
      <c r="H39">
        <v>12</v>
      </c>
      <c r="I39">
        <v>15000</v>
      </c>
      <c r="J39">
        <v>20000</v>
      </c>
      <c r="K39">
        <f t="shared" si="0"/>
        <v>520000</v>
      </c>
      <c r="L39">
        <f t="shared" si="1"/>
        <v>390000</v>
      </c>
      <c r="M39">
        <f t="shared" si="2"/>
        <v>130000</v>
      </c>
      <c r="N39" s="4">
        <f t="shared" si="3"/>
        <v>0.25</v>
      </c>
      <c r="O39" t="str">
        <f t="shared" si="4"/>
        <v>Normal</v>
      </c>
      <c r="P39" t="str">
        <f t="shared" si="5"/>
        <v/>
      </c>
      <c r="Q39" t="str">
        <f t="shared" si="6"/>
        <v/>
      </c>
      <c r="S39">
        <f t="shared" si="9"/>
        <v>25</v>
      </c>
      <c r="T39" t="str">
        <f t="shared" si="7"/>
        <v>0-30 Days</v>
      </c>
      <c r="U39">
        <f t="shared" si="8"/>
        <v>180000</v>
      </c>
      <c r="V39">
        <f>tbl_inventory[[#This Row],[Units_Sold]]*tbl_inventory[[#This Row],[Revenue]]</f>
        <v>13520000</v>
      </c>
    </row>
    <row r="40" spans="1:22" x14ac:dyDescent="0.25">
      <c r="A40" s="2" t="s">
        <v>10</v>
      </c>
      <c r="B40" t="s">
        <v>40</v>
      </c>
      <c r="C40" t="s">
        <v>44</v>
      </c>
      <c r="D40" t="s">
        <v>66</v>
      </c>
      <c r="E40" s="2">
        <v>45717</v>
      </c>
      <c r="F40" s="3">
        <v>69</v>
      </c>
      <c r="G40">
        <v>24</v>
      </c>
      <c r="H40">
        <v>45</v>
      </c>
      <c r="I40">
        <v>15000</v>
      </c>
      <c r="J40">
        <v>20000</v>
      </c>
      <c r="K40">
        <f t="shared" si="0"/>
        <v>480000</v>
      </c>
      <c r="L40">
        <f t="shared" si="1"/>
        <v>360000</v>
      </c>
      <c r="M40">
        <f t="shared" si="2"/>
        <v>120000</v>
      </c>
      <c r="N40" s="4">
        <f t="shared" si="3"/>
        <v>0.25</v>
      </c>
      <c r="O40" t="str">
        <f t="shared" si="4"/>
        <v>Normal</v>
      </c>
      <c r="P40" t="str">
        <f t="shared" si="5"/>
        <v/>
      </c>
      <c r="Q40" t="str">
        <f t="shared" si="6"/>
        <v/>
      </c>
      <c r="S40">
        <f t="shared" si="9"/>
        <v>57</v>
      </c>
      <c r="T40" t="str">
        <f t="shared" si="7"/>
        <v>0-30 Days</v>
      </c>
      <c r="U40">
        <f t="shared" si="8"/>
        <v>675000</v>
      </c>
      <c r="V40">
        <f>tbl_inventory[[#This Row],[Units_Sold]]*tbl_inventory[[#This Row],[Revenue]]</f>
        <v>11520000</v>
      </c>
    </row>
    <row r="41" spans="1:22" x14ac:dyDescent="0.25">
      <c r="A41" s="2" t="s">
        <v>10</v>
      </c>
      <c r="B41" t="s">
        <v>40</v>
      </c>
      <c r="C41" t="s">
        <v>44</v>
      </c>
      <c r="D41" t="s">
        <v>66</v>
      </c>
      <c r="E41" s="2">
        <v>45748</v>
      </c>
      <c r="F41" s="3">
        <v>60</v>
      </c>
      <c r="G41">
        <v>18</v>
      </c>
      <c r="H41">
        <v>42</v>
      </c>
      <c r="I41">
        <v>15000</v>
      </c>
      <c r="J41">
        <v>20000</v>
      </c>
      <c r="K41">
        <f t="shared" si="0"/>
        <v>360000</v>
      </c>
      <c r="L41">
        <f t="shared" si="1"/>
        <v>270000</v>
      </c>
      <c r="M41">
        <f t="shared" si="2"/>
        <v>90000</v>
      </c>
      <c r="N41" s="4">
        <f t="shared" si="3"/>
        <v>0.25</v>
      </c>
      <c r="O41" t="str">
        <f t="shared" si="4"/>
        <v>Slow Moving</v>
      </c>
      <c r="P41" t="str">
        <f t="shared" si="5"/>
        <v/>
      </c>
      <c r="Q41" t="str">
        <f t="shared" si="6"/>
        <v/>
      </c>
      <c r="S41">
        <f t="shared" si="9"/>
        <v>51</v>
      </c>
      <c r="T41" t="str">
        <f t="shared" si="7"/>
        <v>0-30 Days</v>
      </c>
      <c r="U41">
        <f t="shared" si="8"/>
        <v>630000</v>
      </c>
      <c r="V41">
        <f>tbl_inventory[[#This Row],[Units_Sold]]*tbl_inventory[[#This Row],[Revenue]]</f>
        <v>6480000</v>
      </c>
    </row>
    <row r="42" spans="1:22" x14ac:dyDescent="0.25">
      <c r="A42" s="2" t="s">
        <v>10</v>
      </c>
      <c r="B42" t="s">
        <v>40</v>
      </c>
      <c r="C42" t="s">
        <v>44</v>
      </c>
      <c r="D42" t="s">
        <v>66</v>
      </c>
      <c r="E42" s="2">
        <v>45778</v>
      </c>
      <c r="F42" s="3">
        <v>33</v>
      </c>
      <c r="G42">
        <v>32</v>
      </c>
      <c r="H42">
        <v>1</v>
      </c>
      <c r="I42">
        <v>15000</v>
      </c>
      <c r="J42">
        <v>20000</v>
      </c>
      <c r="K42">
        <f t="shared" si="0"/>
        <v>640000</v>
      </c>
      <c r="L42">
        <f t="shared" si="1"/>
        <v>480000</v>
      </c>
      <c r="M42">
        <f t="shared" si="2"/>
        <v>160000</v>
      </c>
      <c r="N42" s="4">
        <f t="shared" si="3"/>
        <v>0.25</v>
      </c>
      <c r="O42" t="str">
        <f t="shared" si="4"/>
        <v>Normal</v>
      </c>
      <c r="P42" t="str">
        <f t="shared" si="5"/>
        <v/>
      </c>
      <c r="Q42" t="str">
        <f t="shared" si="6"/>
        <v/>
      </c>
      <c r="S42">
        <f t="shared" si="9"/>
        <v>17</v>
      </c>
      <c r="T42" t="str">
        <f t="shared" si="7"/>
        <v>0-30 Days</v>
      </c>
      <c r="U42">
        <f t="shared" si="8"/>
        <v>15000</v>
      </c>
      <c r="V42">
        <f>tbl_inventory[[#This Row],[Units_Sold]]*tbl_inventory[[#This Row],[Revenue]]</f>
        <v>20480000</v>
      </c>
    </row>
    <row r="43" spans="1:22" x14ac:dyDescent="0.25">
      <c r="A43" s="2" t="s">
        <v>10</v>
      </c>
      <c r="B43" t="s">
        <v>40</v>
      </c>
      <c r="C43" t="s">
        <v>44</v>
      </c>
      <c r="D43" t="s">
        <v>66</v>
      </c>
      <c r="E43" s="2">
        <v>45809</v>
      </c>
      <c r="F43" s="3">
        <v>86</v>
      </c>
      <c r="G43">
        <v>29</v>
      </c>
      <c r="H43">
        <v>57</v>
      </c>
      <c r="I43">
        <v>15000</v>
      </c>
      <c r="J43">
        <v>20000</v>
      </c>
      <c r="K43">
        <f t="shared" si="0"/>
        <v>580000</v>
      </c>
      <c r="L43">
        <f t="shared" si="1"/>
        <v>435000</v>
      </c>
      <c r="M43">
        <f t="shared" si="2"/>
        <v>145000</v>
      </c>
      <c r="N43" s="4">
        <f t="shared" si="3"/>
        <v>0.25</v>
      </c>
      <c r="O43" t="str">
        <f t="shared" si="4"/>
        <v>Normal</v>
      </c>
      <c r="P43" t="str">
        <f t="shared" si="5"/>
        <v/>
      </c>
      <c r="Q43" t="str">
        <f t="shared" si="6"/>
        <v/>
      </c>
      <c r="S43">
        <f t="shared" si="9"/>
        <v>71.5</v>
      </c>
      <c r="T43" t="str">
        <f t="shared" si="7"/>
        <v>30-60 Days</v>
      </c>
      <c r="U43">
        <f t="shared" si="8"/>
        <v>855000</v>
      </c>
      <c r="V43">
        <f>tbl_inventory[[#This Row],[Units_Sold]]*tbl_inventory[[#This Row],[Revenue]]</f>
        <v>16820000</v>
      </c>
    </row>
    <row r="44" spans="1:22" x14ac:dyDescent="0.25">
      <c r="A44" s="2" t="s">
        <v>10</v>
      </c>
      <c r="B44" t="s">
        <v>40</v>
      </c>
      <c r="C44" t="s">
        <v>44</v>
      </c>
      <c r="D44" t="s">
        <v>67</v>
      </c>
      <c r="E44" s="2">
        <v>45658</v>
      </c>
      <c r="F44" s="3">
        <v>64</v>
      </c>
      <c r="G44">
        <v>27</v>
      </c>
      <c r="H44">
        <v>37</v>
      </c>
      <c r="I44">
        <v>15000</v>
      </c>
      <c r="J44">
        <v>20000</v>
      </c>
      <c r="K44">
        <f t="shared" si="0"/>
        <v>540000</v>
      </c>
      <c r="L44">
        <f t="shared" si="1"/>
        <v>405000</v>
      </c>
      <c r="M44">
        <f t="shared" si="2"/>
        <v>135000</v>
      </c>
      <c r="N44" s="4">
        <f t="shared" si="3"/>
        <v>0.25</v>
      </c>
      <c r="O44" t="str">
        <f t="shared" si="4"/>
        <v>Normal</v>
      </c>
      <c r="P44" t="str">
        <f t="shared" si="5"/>
        <v/>
      </c>
      <c r="Q44" t="str">
        <f t="shared" si="6"/>
        <v/>
      </c>
      <c r="S44">
        <f t="shared" si="9"/>
        <v>50.5</v>
      </c>
      <c r="T44" t="str">
        <f t="shared" si="7"/>
        <v>0-30 Days</v>
      </c>
      <c r="U44">
        <f t="shared" si="8"/>
        <v>555000</v>
      </c>
      <c r="V44">
        <f>tbl_inventory[[#This Row],[Units_Sold]]*tbl_inventory[[#This Row],[Revenue]]</f>
        <v>14580000</v>
      </c>
    </row>
    <row r="45" spans="1:22" x14ac:dyDescent="0.25">
      <c r="A45" s="2" t="s">
        <v>10</v>
      </c>
      <c r="B45" t="s">
        <v>40</v>
      </c>
      <c r="C45" t="s">
        <v>44</v>
      </c>
      <c r="D45" t="s">
        <v>67</v>
      </c>
      <c r="E45" s="2">
        <v>45689</v>
      </c>
      <c r="F45" s="3">
        <v>37</v>
      </c>
      <c r="G45">
        <v>4</v>
      </c>
      <c r="H45">
        <v>33</v>
      </c>
      <c r="I45">
        <v>15000</v>
      </c>
      <c r="J45">
        <v>20000</v>
      </c>
      <c r="K45">
        <f t="shared" si="0"/>
        <v>80000</v>
      </c>
      <c r="L45">
        <f t="shared" si="1"/>
        <v>60000</v>
      </c>
      <c r="M45">
        <f t="shared" si="2"/>
        <v>20000</v>
      </c>
      <c r="N45" s="4">
        <f t="shared" si="3"/>
        <v>0.25</v>
      </c>
      <c r="O45" t="str">
        <f t="shared" si="4"/>
        <v>Slow Moving</v>
      </c>
      <c r="P45" t="str">
        <f t="shared" si="5"/>
        <v/>
      </c>
      <c r="Q45" t="str">
        <f t="shared" si="6"/>
        <v/>
      </c>
      <c r="S45">
        <f t="shared" si="9"/>
        <v>35</v>
      </c>
      <c r="T45" t="str">
        <f t="shared" si="7"/>
        <v>0-30 Days</v>
      </c>
      <c r="U45">
        <f t="shared" si="8"/>
        <v>495000</v>
      </c>
      <c r="V45">
        <f>tbl_inventory[[#This Row],[Units_Sold]]*tbl_inventory[[#This Row],[Revenue]]</f>
        <v>320000</v>
      </c>
    </row>
    <row r="46" spans="1:22" x14ac:dyDescent="0.25">
      <c r="A46" s="2" t="s">
        <v>10</v>
      </c>
      <c r="B46" t="s">
        <v>40</v>
      </c>
      <c r="C46" t="s">
        <v>44</v>
      </c>
      <c r="D46" t="s">
        <v>67</v>
      </c>
      <c r="E46" s="2">
        <v>45717</v>
      </c>
      <c r="F46" s="3">
        <v>41</v>
      </c>
      <c r="G46">
        <v>34</v>
      </c>
      <c r="H46">
        <v>7</v>
      </c>
      <c r="I46">
        <v>15000</v>
      </c>
      <c r="J46">
        <v>20000</v>
      </c>
      <c r="K46">
        <f t="shared" si="0"/>
        <v>680000</v>
      </c>
      <c r="L46">
        <f t="shared" si="1"/>
        <v>510000</v>
      </c>
      <c r="M46">
        <f t="shared" si="2"/>
        <v>170000</v>
      </c>
      <c r="N46" s="4">
        <f t="shared" si="3"/>
        <v>0.25</v>
      </c>
      <c r="O46" t="str">
        <f t="shared" si="4"/>
        <v>Normal</v>
      </c>
      <c r="P46" t="str">
        <f t="shared" si="5"/>
        <v/>
      </c>
      <c r="Q46" t="str">
        <f t="shared" si="6"/>
        <v/>
      </c>
      <c r="S46">
        <f t="shared" si="9"/>
        <v>24</v>
      </c>
      <c r="T46" t="str">
        <f t="shared" si="7"/>
        <v>0-30 Days</v>
      </c>
      <c r="U46">
        <f t="shared" si="8"/>
        <v>105000</v>
      </c>
      <c r="V46">
        <f>tbl_inventory[[#This Row],[Units_Sold]]*tbl_inventory[[#This Row],[Revenue]]</f>
        <v>23120000</v>
      </c>
    </row>
    <row r="47" spans="1:22" x14ac:dyDescent="0.25">
      <c r="A47" s="2" t="s">
        <v>10</v>
      </c>
      <c r="B47" t="s">
        <v>40</v>
      </c>
      <c r="C47" t="s">
        <v>44</v>
      </c>
      <c r="D47" t="s">
        <v>67</v>
      </c>
      <c r="E47" s="2">
        <v>45748</v>
      </c>
      <c r="F47" s="3">
        <v>21</v>
      </c>
      <c r="G47">
        <v>7</v>
      </c>
      <c r="H47">
        <v>14</v>
      </c>
      <c r="I47">
        <v>15000</v>
      </c>
      <c r="J47">
        <v>20000</v>
      </c>
      <c r="K47">
        <f t="shared" si="0"/>
        <v>140000</v>
      </c>
      <c r="L47">
        <f t="shared" si="1"/>
        <v>105000</v>
      </c>
      <c r="M47">
        <f t="shared" si="2"/>
        <v>35000</v>
      </c>
      <c r="N47" s="4">
        <f t="shared" si="3"/>
        <v>0.25</v>
      </c>
      <c r="O47" t="str">
        <f t="shared" si="4"/>
        <v>Slow Moving</v>
      </c>
      <c r="P47" t="str">
        <f t="shared" si="5"/>
        <v/>
      </c>
      <c r="Q47" t="str">
        <f t="shared" si="6"/>
        <v/>
      </c>
      <c r="S47">
        <f t="shared" si="9"/>
        <v>17.5</v>
      </c>
      <c r="T47" t="str">
        <f t="shared" si="7"/>
        <v>0-30 Days</v>
      </c>
      <c r="U47">
        <f t="shared" si="8"/>
        <v>210000</v>
      </c>
      <c r="V47">
        <f>tbl_inventory[[#This Row],[Units_Sold]]*tbl_inventory[[#This Row],[Revenue]]</f>
        <v>980000</v>
      </c>
    </row>
    <row r="48" spans="1:22" x14ac:dyDescent="0.25">
      <c r="A48" s="2" t="s">
        <v>10</v>
      </c>
      <c r="B48" t="s">
        <v>40</v>
      </c>
      <c r="C48" t="s">
        <v>44</v>
      </c>
      <c r="D48" t="s">
        <v>67</v>
      </c>
      <c r="E48" s="2">
        <v>45778</v>
      </c>
      <c r="F48" s="3">
        <v>80</v>
      </c>
      <c r="G48">
        <v>31</v>
      </c>
      <c r="H48">
        <v>49</v>
      </c>
      <c r="I48">
        <v>15000</v>
      </c>
      <c r="J48">
        <v>20000</v>
      </c>
      <c r="K48">
        <f t="shared" si="0"/>
        <v>620000</v>
      </c>
      <c r="L48">
        <f t="shared" si="1"/>
        <v>465000</v>
      </c>
      <c r="M48">
        <f t="shared" si="2"/>
        <v>155000</v>
      </c>
      <c r="N48" s="4">
        <f t="shared" si="3"/>
        <v>0.25</v>
      </c>
      <c r="O48" t="str">
        <f t="shared" si="4"/>
        <v>Normal</v>
      </c>
      <c r="P48" t="str">
        <f t="shared" si="5"/>
        <v/>
      </c>
      <c r="Q48" t="str">
        <f t="shared" si="6"/>
        <v/>
      </c>
      <c r="S48">
        <f t="shared" si="9"/>
        <v>64.5</v>
      </c>
      <c r="T48" t="str">
        <f t="shared" si="7"/>
        <v>0-30 Days</v>
      </c>
      <c r="U48">
        <f t="shared" si="8"/>
        <v>735000</v>
      </c>
      <c r="V48">
        <f>tbl_inventory[[#This Row],[Units_Sold]]*tbl_inventory[[#This Row],[Revenue]]</f>
        <v>19220000</v>
      </c>
    </row>
    <row r="49" spans="1:22" x14ac:dyDescent="0.25">
      <c r="A49" s="2" t="s">
        <v>10</v>
      </c>
      <c r="B49" t="s">
        <v>40</v>
      </c>
      <c r="C49" t="s">
        <v>44</v>
      </c>
      <c r="D49" t="s">
        <v>67</v>
      </c>
      <c r="E49" s="2">
        <v>45809</v>
      </c>
      <c r="F49" s="3">
        <v>48</v>
      </c>
      <c r="G49">
        <v>48</v>
      </c>
      <c r="H49">
        <v>0</v>
      </c>
      <c r="I49">
        <v>15000</v>
      </c>
      <c r="J49">
        <v>20000</v>
      </c>
      <c r="K49">
        <f t="shared" si="0"/>
        <v>960000</v>
      </c>
      <c r="L49">
        <f t="shared" si="1"/>
        <v>720000</v>
      </c>
      <c r="M49">
        <f t="shared" si="2"/>
        <v>240000</v>
      </c>
      <c r="N49" s="4">
        <f t="shared" si="3"/>
        <v>0.25</v>
      </c>
      <c r="O49" t="str">
        <f t="shared" si="4"/>
        <v>Normal</v>
      </c>
      <c r="P49" t="str">
        <f t="shared" si="5"/>
        <v/>
      </c>
      <c r="Q49" t="str">
        <f t="shared" si="6"/>
        <v/>
      </c>
      <c r="S49">
        <f t="shared" si="9"/>
        <v>24</v>
      </c>
      <c r="T49" t="str">
        <f t="shared" si="7"/>
        <v>0-30 Days</v>
      </c>
      <c r="U49">
        <f t="shared" si="8"/>
        <v>0</v>
      </c>
      <c r="V49">
        <f>tbl_inventory[[#This Row],[Units_Sold]]*tbl_inventory[[#This Row],[Revenue]]</f>
        <v>46080000</v>
      </c>
    </row>
    <row r="50" spans="1:22" x14ac:dyDescent="0.25">
      <c r="A50" s="2" t="s">
        <v>12</v>
      </c>
      <c r="B50" t="s">
        <v>48</v>
      </c>
      <c r="C50" t="s">
        <v>44</v>
      </c>
      <c r="D50" t="s">
        <v>64</v>
      </c>
      <c r="E50" s="2">
        <v>45658</v>
      </c>
      <c r="F50" s="3">
        <v>64</v>
      </c>
      <c r="G50">
        <v>25</v>
      </c>
      <c r="H50">
        <v>39</v>
      </c>
      <c r="I50">
        <v>30000</v>
      </c>
      <c r="J50">
        <v>38000</v>
      </c>
      <c r="K50">
        <f t="shared" si="0"/>
        <v>950000</v>
      </c>
      <c r="L50">
        <f t="shared" si="1"/>
        <v>750000</v>
      </c>
      <c r="M50">
        <f t="shared" si="2"/>
        <v>200000</v>
      </c>
      <c r="N50" s="4">
        <f t="shared" si="3"/>
        <v>0.21052631578947367</v>
      </c>
      <c r="O50" t="str">
        <f t="shared" si="4"/>
        <v>Normal</v>
      </c>
      <c r="P50" t="str">
        <f t="shared" si="5"/>
        <v/>
      </c>
      <c r="Q50" t="str">
        <f t="shared" si="6"/>
        <v/>
      </c>
      <c r="S50">
        <f t="shared" si="9"/>
        <v>51.5</v>
      </c>
      <c r="T50" t="str">
        <f t="shared" si="7"/>
        <v>0-30 Days</v>
      </c>
      <c r="U50">
        <f t="shared" si="8"/>
        <v>1170000</v>
      </c>
      <c r="V50">
        <f>tbl_inventory[[#This Row],[Units_Sold]]*tbl_inventory[[#This Row],[Revenue]]</f>
        <v>23750000</v>
      </c>
    </row>
    <row r="51" spans="1:22" x14ac:dyDescent="0.25">
      <c r="A51" s="2" t="s">
        <v>12</v>
      </c>
      <c r="B51" t="s">
        <v>48</v>
      </c>
      <c r="C51" t="s">
        <v>44</v>
      </c>
      <c r="D51" t="s">
        <v>64</v>
      </c>
      <c r="E51" s="2">
        <v>45689</v>
      </c>
      <c r="F51" s="3">
        <v>86</v>
      </c>
      <c r="G51">
        <v>32</v>
      </c>
      <c r="H51">
        <v>54</v>
      </c>
      <c r="I51">
        <v>30000</v>
      </c>
      <c r="J51">
        <v>38000</v>
      </c>
      <c r="K51">
        <f t="shared" si="0"/>
        <v>1216000</v>
      </c>
      <c r="L51">
        <f t="shared" si="1"/>
        <v>960000</v>
      </c>
      <c r="M51">
        <f t="shared" si="2"/>
        <v>256000</v>
      </c>
      <c r="N51" s="4">
        <f t="shared" si="3"/>
        <v>0.21052631578947367</v>
      </c>
      <c r="O51" t="str">
        <f t="shared" si="4"/>
        <v>Normal</v>
      </c>
      <c r="P51" t="str">
        <f t="shared" si="5"/>
        <v/>
      </c>
      <c r="Q51" t="str">
        <f t="shared" si="6"/>
        <v/>
      </c>
      <c r="S51">
        <f t="shared" si="9"/>
        <v>70</v>
      </c>
      <c r="T51" t="str">
        <f t="shared" si="7"/>
        <v>30-60 Days</v>
      </c>
      <c r="U51">
        <f t="shared" si="8"/>
        <v>1620000</v>
      </c>
      <c r="V51">
        <f>tbl_inventory[[#This Row],[Units_Sold]]*tbl_inventory[[#This Row],[Revenue]]</f>
        <v>38912000</v>
      </c>
    </row>
    <row r="52" spans="1:22" x14ac:dyDescent="0.25">
      <c r="A52" s="2" t="s">
        <v>12</v>
      </c>
      <c r="B52" t="s">
        <v>48</v>
      </c>
      <c r="C52" t="s">
        <v>44</v>
      </c>
      <c r="D52" t="s">
        <v>64</v>
      </c>
      <c r="E52" s="2">
        <v>45717</v>
      </c>
      <c r="F52" s="3">
        <v>98</v>
      </c>
      <c r="G52">
        <v>66</v>
      </c>
      <c r="H52">
        <v>32</v>
      </c>
      <c r="I52">
        <v>30000</v>
      </c>
      <c r="J52">
        <v>38000</v>
      </c>
      <c r="K52">
        <f t="shared" si="0"/>
        <v>2508000</v>
      </c>
      <c r="L52">
        <f t="shared" si="1"/>
        <v>1980000</v>
      </c>
      <c r="M52">
        <f t="shared" si="2"/>
        <v>528000</v>
      </c>
      <c r="N52" s="4">
        <f t="shared" si="3"/>
        <v>0.21052631578947367</v>
      </c>
      <c r="O52" t="str">
        <f t="shared" si="4"/>
        <v>Normal</v>
      </c>
      <c r="P52" t="str">
        <f t="shared" si="5"/>
        <v/>
      </c>
      <c r="Q52" t="str">
        <f t="shared" si="6"/>
        <v/>
      </c>
      <c r="S52">
        <f t="shared" si="9"/>
        <v>65</v>
      </c>
      <c r="T52" t="str">
        <f t="shared" si="7"/>
        <v>0-30 Days</v>
      </c>
      <c r="U52">
        <f t="shared" si="8"/>
        <v>960000</v>
      </c>
      <c r="V52">
        <f>tbl_inventory[[#This Row],[Units_Sold]]*tbl_inventory[[#This Row],[Revenue]]</f>
        <v>165528000</v>
      </c>
    </row>
    <row r="53" spans="1:22" x14ac:dyDescent="0.25">
      <c r="A53" s="2" t="s">
        <v>12</v>
      </c>
      <c r="B53" t="s">
        <v>48</v>
      </c>
      <c r="C53" t="s">
        <v>44</v>
      </c>
      <c r="D53" t="s">
        <v>64</v>
      </c>
      <c r="E53" s="2">
        <v>45748</v>
      </c>
      <c r="F53" s="3">
        <v>20</v>
      </c>
      <c r="G53">
        <v>12</v>
      </c>
      <c r="H53">
        <v>8</v>
      </c>
      <c r="I53">
        <v>30000</v>
      </c>
      <c r="J53">
        <v>38000</v>
      </c>
      <c r="K53">
        <f t="shared" si="0"/>
        <v>456000</v>
      </c>
      <c r="L53">
        <f t="shared" si="1"/>
        <v>360000</v>
      </c>
      <c r="M53">
        <f t="shared" si="2"/>
        <v>96000</v>
      </c>
      <c r="N53" s="4">
        <f t="shared" si="3"/>
        <v>0.21052631578947367</v>
      </c>
      <c r="O53" t="str">
        <f t="shared" si="4"/>
        <v>Slow Moving</v>
      </c>
      <c r="P53" t="str">
        <f t="shared" si="5"/>
        <v/>
      </c>
      <c r="Q53" t="str">
        <f t="shared" si="6"/>
        <v/>
      </c>
      <c r="S53">
        <f t="shared" si="9"/>
        <v>14</v>
      </c>
      <c r="T53" t="str">
        <f t="shared" si="7"/>
        <v>0-30 Days</v>
      </c>
      <c r="U53">
        <f t="shared" si="8"/>
        <v>240000</v>
      </c>
      <c r="V53">
        <f>tbl_inventory[[#This Row],[Units_Sold]]*tbl_inventory[[#This Row],[Revenue]]</f>
        <v>5472000</v>
      </c>
    </row>
    <row r="54" spans="1:22" x14ac:dyDescent="0.25">
      <c r="A54" s="2" t="s">
        <v>12</v>
      </c>
      <c r="B54" t="s">
        <v>48</v>
      </c>
      <c r="C54" t="s">
        <v>44</v>
      </c>
      <c r="D54" t="s">
        <v>64</v>
      </c>
      <c r="E54" s="2">
        <v>45778</v>
      </c>
      <c r="F54" s="3">
        <v>40</v>
      </c>
      <c r="G54">
        <v>4</v>
      </c>
      <c r="H54">
        <v>36</v>
      </c>
      <c r="I54">
        <v>30000</v>
      </c>
      <c r="J54">
        <v>38000</v>
      </c>
      <c r="K54">
        <f t="shared" si="0"/>
        <v>152000</v>
      </c>
      <c r="L54">
        <f t="shared" si="1"/>
        <v>120000</v>
      </c>
      <c r="M54">
        <f t="shared" si="2"/>
        <v>32000</v>
      </c>
      <c r="N54" s="4">
        <f t="shared" si="3"/>
        <v>0.21052631578947367</v>
      </c>
      <c r="O54" t="str">
        <f t="shared" si="4"/>
        <v>Slow Moving</v>
      </c>
      <c r="P54" t="str">
        <f t="shared" si="5"/>
        <v/>
      </c>
      <c r="Q54" t="str">
        <f t="shared" si="6"/>
        <v/>
      </c>
      <c r="S54">
        <f t="shared" si="9"/>
        <v>38</v>
      </c>
      <c r="T54" t="str">
        <f t="shared" si="7"/>
        <v>0-30 Days</v>
      </c>
      <c r="U54">
        <f t="shared" si="8"/>
        <v>1080000</v>
      </c>
      <c r="V54">
        <f>tbl_inventory[[#This Row],[Units_Sold]]*tbl_inventory[[#This Row],[Revenue]]</f>
        <v>608000</v>
      </c>
    </row>
    <row r="55" spans="1:22" x14ac:dyDescent="0.25">
      <c r="A55" s="2" t="s">
        <v>12</v>
      </c>
      <c r="B55" t="s">
        <v>48</v>
      </c>
      <c r="C55" t="s">
        <v>44</v>
      </c>
      <c r="D55" t="s">
        <v>64</v>
      </c>
      <c r="E55" s="2">
        <v>45809</v>
      </c>
      <c r="F55" s="3">
        <v>71</v>
      </c>
      <c r="G55">
        <v>9</v>
      </c>
      <c r="H55">
        <v>62</v>
      </c>
      <c r="I55">
        <v>30000</v>
      </c>
      <c r="J55">
        <v>38000</v>
      </c>
      <c r="K55">
        <f t="shared" si="0"/>
        <v>342000</v>
      </c>
      <c r="L55">
        <f t="shared" si="1"/>
        <v>270000</v>
      </c>
      <c r="M55">
        <f t="shared" si="2"/>
        <v>72000</v>
      </c>
      <c r="N55" s="4">
        <f t="shared" si="3"/>
        <v>0.21052631578947367</v>
      </c>
      <c r="O55" t="str">
        <f t="shared" si="4"/>
        <v>Slow Moving</v>
      </c>
      <c r="P55" t="str">
        <f t="shared" si="5"/>
        <v/>
      </c>
      <c r="Q55" t="str">
        <f t="shared" si="6"/>
        <v/>
      </c>
      <c r="S55">
        <f t="shared" si="9"/>
        <v>66.5</v>
      </c>
      <c r="T55" t="str">
        <f t="shared" si="7"/>
        <v>30-60 Days</v>
      </c>
      <c r="U55">
        <f t="shared" si="8"/>
        <v>1860000</v>
      </c>
      <c r="V55">
        <f>tbl_inventory[[#This Row],[Units_Sold]]*tbl_inventory[[#This Row],[Revenue]]</f>
        <v>3078000</v>
      </c>
    </row>
    <row r="56" spans="1:22" x14ac:dyDescent="0.25">
      <c r="A56" s="2" t="s">
        <v>12</v>
      </c>
      <c r="B56" t="s">
        <v>48</v>
      </c>
      <c r="C56" t="s">
        <v>44</v>
      </c>
      <c r="D56" t="s">
        <v>65</v>
      </c>
      <c r="E56" s="2">
        <v>45658</v>
      </c>
      <c r="F56" s="3">
        <v>90</v>
      </c>
      <c r="G56">
        <v>41</v>
      </c>
      <c r="H56">
        <v>49</v>
      </c>
      <c r="I56">
        <v>30000</v>
      </c>
      <c r="J56">
        <v>38000</v>
      </c>
      <c r="K56">
        <f t="shared" si="0"/>
        <v>1558000</v>
      </c>
      <c r="L56">
        <f t="shared" si="1"/>
        <v>1230000</v>
      </c>
      <c r="M56">
        <f t="shared" si="2"/>
        <v>328000</v>
      </c>
      <c r="N56" s="4">
        <f t="shared" si="3"/>
        <v>0.21052631578947367</v>
      </c>
      <c r="O56" t="str">
        <f t="shared" si="4"/>
        <v>Normal</v>
      </c>
      <c r="P56" t="str">
        <f t="shared" si="5"/>
        <v/>
      </c>
      <c r="Q56" t="str">
        <f t="shared" si="6"/>
        <v/>
      </c>
      <c r="S56">
        <f t="shared" si="9"/>
        <v>69.5</v>
      </c>
      <c r="T56" t="str">
        <f t="shared" si="7"/>
        <v>0-30 Days</v>
      </c>
      <c r="U56">
        <f t="shared" si="8"/>
        <v>1470000</v>
      </c>
      <c r="V56">
        <f>tbl_inventory[[#This Row],[Units_Sold]]*tbl_inventory[[#This Row],[Revenue]]</f>
        <v>63878000</v>
      </c>
    </row>
    <row r="57" spans="1:22" x14ac:dyDescent="0.25">
      <c r="A57" s="2" t="s">
        <v>12</v>
      </c>
      <c r="B57" t="s">
        <v>48</v>
      </c>
      <c r="C57" t="s">
        <v>44</v>
      </c>
      <c r="D57" t="s">
        <v>65</v>
      </c>
      <c r="E57" s="2">
        <v>45689</v>
      </c>
      <c r="F57" s="3">
        <v>59</v>
      </c>
      <c r="G57">
        <v>52</v>
      </c>
      <c r="H57">
        <v>7</v>
      </c>
      <c r="I57">
        <v>30000</v>
      </c>
      <c r="J57">
        <v>38000</v>
      </c>
      <c r="K57">
        <f t="shared" si="0"/>
        <v>1976000</v>
      </c>
      <c r="L57">
        <f t="shared" si="1"/>
        <v>1560000</v>
      </c>
      <c r="M57">
        <f t="shared" si="2"/>
        <v>416000</v>
      </c>
      <c r="N57" s="4">
        <f t="shared" si="3"/>
        <v>0.21052631578947367</v>
      </c>
      <c r="O57" t="str">
        <f t="shared" si="4"/>
        <v>Normal</v>
      </c>
      <c r="P57" t="str">
        <f t="shared" si="5"/>
        <v/>
      </c>
      <c r="Q57" t="str">
        <f t="shared" si="6"/>
        <v/>
      </c>
      <c r="S57">
        <f t="shared" si="9"/>
        <v>33</v>
      </c>
      <c r="T57" t="str">
        <f t="shared" si="7"/>
        <v>0-30 Days</v>
      </c>
      <c r="U57">
        <f t="shared" si="8"/>
        <v>210000</v>
      </c>
      <c r="V57">
        <f>tbl_inventory[[#This Row],[Units_Sold]]*tbl_inventory[[#This Row],[Revenue]]</f>
        <v>102752000</v>
      </c>
    </row>
    <row r="58" spans="1:22" x14ac:dyDescent="0.25">
      <c r="A58" s="2" t="s">
        <v>12</v>
      </c>
      <c r="B58" t="s">
        <v>48</v>
      </c>
      <c r="C58" t="s">
        <v>44</v>
      </c>
      <c r="D58" t="s">
        <v>65</v>
      </c>
      <c r="E58" s="2">
        <v>45717</v>
      </c>
      <c r="F58" s="3">
        <v>35</v>
      </c>
      <c r="G58">
        <v>6</v>
      </c>
      <c r="H58">
        <v>29</v>
      </c>
      <c r="I58">
        <v>30000</v>
      </c>
      <c r="J58">
        <v>38000</v>
      </c>
      <c r="K58">
        <f t="shared" si="0"/>
        <v>228000</v>
      </c>
      <c r="L58">
        <f t="shared" si="1"/>
        <v>180000</v>
      </c>
      <c r="M58">
        <f t="shared" si="2"/>
        <v>48000</v>
      </c>
      <c r="N58" s="4">
        <f t="shared" si="3"/>
        <v>0.21052631578947367</v>
      </c>
      <c r="O58" t="str">
        <f t="shared" si="4"/>
        <v>Slow Moving</v>
      </c>
      <c r="P58" t="str">
        <f t="shared" si="5"/>
        <v/>
      </c>
      <c r="Q58" t="str">
        <f t="shared" si="6"/>
        <v/>
      </c>
      <c r="S58">
        <f t="shared" si="9"/>
        <v>32</v>
      </c>
      <c r="T58" t="str">
        <f t="shared" si="7"/>
        <v>0-30 Days</v>
      </c>
      <c r="U58">
        <f t="shared" si="8"/>
        <v>870000</v>
      </c>
      <c r="V58">
        <f>tbl_inventory[[#This Row],[Units_Sold]]*tbl_inventory[[#This Row],[Revenue]]</f>
        <v>1368000</v>
      </c>
    </row>
    <row r="59" spans="1:22" x14ac:dyDescent="0.25">
      <c r="A59" s="2" t="s">
        <v>12</v>
      </c>
      <c r="B59" t="s">
        <v>48</v>
      </c>
      <c r="C59" t="s">
        <v>44</v>
      </c>
      <c r="D59" t="s">
        <v>65</v>
      </c>
      <c r="E59" s="2">
        <v>45748</v>
      </c>
      <c r="F59" s="3">
        <v>73</v>
      </c>
      <c r="G59">
        <v>20</v>
      </c>
      <c r="H59">
        <v>53</v>
      </c>
      <c r="I59">
        <v>30000</v>
      </c>
      <c r="J59">
        <v>38000</v>
      </c>
      <c r="K59">
        <f t="shared" si="0"/>
        <v>760000</v>
      </c>
      <c r="L59">
        <f t="shared" si="1"/>
        <v>600000</v>
      </c>
      <c r="M59">
        <f t="shared" si="2"/>
        <v>160000</v>
      </c>
      <c r="N59" s="4">
        <f t="shared" si="3"/>
        <v>0.21052631578947367</v>
      </c>
      <c r="O59" t="str">
        <f t="shared" si="4"/>
        <v>Normal</v>
      </c>
      <c r="P59" t="str">
        <f t="shared" si="5"/>
        <v/>
      </c>
      <c r="Q59" t="str">
        <f t="shared" si="6"/>
        <v/>
      </c>
      <c r="S59">
        <f t="shared" si="9"/>
        <v>63</v>
      </c>
      <c r="T59" t="str">
        <f t="shared" si="7"/>
        <v>30-60 Days</v>
      </c>
      <c r="U59">
        <f t="shared" si="8"/>
        <v>1590000</v>
      </c>
      <c r="V59">
        <f>tbl_inventory[[#This Row],[Units_Sold]]*tbl_inventory[[#This Row],[Revenue]]</f>
        <v>15200000</v>
      </c>
    </row>
    <row r="60" spans="1:22" x14ac:dyDescent="0.25">
      <c r="A60" s="2" t="s">
        <v>12</v>
      </c>
      <c r="B60" t="s">
        <v>48</v>
      </c>
      <c r="C60" t="s">
        <v>44</v>
      </c>
      <c r="D60" t="s">
        <v>65</v>
      </c>
      <c r="E60" s="2">
        <v>45778</v>
      </c>
      <c r="F60" s="3">
        <v>33</v>
      </c>
      <c r="G60">
        <v>18</v>
      </c>
      <c r="H60">
        <v>15</v>
      </c>
      <c r="I60">
        <v>30000</v>
      </c>
      <c r="J60">
        <v>38000</v>
      </c>
      <c r="K60">
        <f t="shared" si="0"/>
        <v>684000</v>
      </c>
      <c r="L60">
        <f t="shared" si="1"/>
        <v>540000</v>
      </c>
      <c r="M60">
        <f t="shared" si="2"/>
        <v>144000</v>
      </c>
      <c r="N60" s="4">
        <f t="shared" si="3"/>
        <v>0.21052631578947367</v>
      </c>
      <c r="O60" t="str">
        <f t="shared" si="4"/>
        <v>Slow Moving</v>
      </c>
      <c r="P60" t="str">
        <f t="shared" si="5"/>
        <v/>
      </c>
      <c r="Q60" t="str">
        <f t="shared" si="6"/>
        <v/>
      </c>
      <c r="S60">
        <f t="shared" si="9"/>
        <v>24</v>
      </c>
      <c r="T60" t="str">
        <f t="shared" si="7"/>
        <v>0-30 Days</v>
      </c>
      <c r="U60">
        <f t="shared" si="8"/>
        <v>450000</v>
      </c>
      <c r="V60">
        <f>tbl_inventory[[#This Row],[Units_Sold]]*tbl_inventory[[#This Row],[Revenue]]</f>
        <v>12312000</v>
      </c>
    </row>
    <row r="61" spans="1:22" x14ac:dyDescent="0.25">
      <c r="A61" s="2" t="s">
        <v>12</v>
      </c>
      <c r="B61" t="s">
        <v>48</v>
      </c>
      <c r="C61" t="s">
        <v>44</v>
      </c>
      <c r="D61" t="s">
        <v>65</v>
      </c>
      <c r="E61" s="2">
        <v>45809</v>
      </c>
      <c r="F61" s="3">
        <v>92</v>
      </c>
      <c r="G61">
        <v>6</v>
      </c>
      <c r="H61">
        <v>86</v>
      </c>
      <c r="I61">
        <v>30000</v>
      </c>
      <c r="J61">
        <v>38000</v>
      </c>
      <c r="K61">
        <f t="shared" si="0"/>
        <v>228000</v>
      </c>
      <c r="L61">
        <f t="shared" si="1"/>
        <v>180000</v>
      </c>
      <c r="M61">
        <f t="shared" si="2"/>
        <v>48000</v>
      </c>
      <c r="N61" s="4">
        <f t="shared" si="3"/>
        <v>0.21052631578947367</v>
      </c>
      <c r="O61" t="str">
        <f t="shared" si="4"/>
        <v>Slow Moving</v>
      </c>
      <c r="P61" t="str">
        <f t="shared" si="5"/>
        <v/>
      </c>
      <c r="Q61" t="str">
        <f t="shared" si="6"/>
        <v/>
      </c>
      <c r="S61">
        <f t="shared" si="9"/>
        <v>89</v>
      </c>
      <c r="T61" t="str">
        <f t="shared" si="7"/>
        <v>30-60 Days</v>
      </c>
      <c r="U61">
        <f t="shared" si="8"/>
        <v>2580000</v>
      </c>
      <c r="V61">
        <f>tbl_inventory[[#This Row],[Units_Sold]]*tbl_inventory[[#This Row],[Revenue]]</f>
        <v>1368000</v>
      </c>
    </row>
    <row r="62" spans="1:22" x14ac:dyDescent="0.25">
      <c r="A62" s="2" t="s">
        <v>12</v>
      </c>
      <c r="B62" t="s">
        <v>48</v>
      </c>
      <c r="C62" t="s">
        <v>44</v>
      </c>
      <c r="D62" t="s">
        <v>66</v>
      </c>
      <c r="E62" s="2">
        <v>45658</v>
      </c>
      <c r="F62" s="3">
        <v>24</v>
      </c>
      <c r="G62">
        <v>18</v>
      </c>
      <c r="H62">
        <v>6</v>
      </c>
      <c r="I62">
        <v>30000</v>
      </c>
      <c r="J62">
        <v>38000</v>
      </c>
      <c r="K62">
        <f t="shared" si="0"/>
        <v>684000</v>
      </c>
      <c r="L62">
        <f t="shared" si="1"/>
        <v>540000</v>
      </c>
      <c r="M62">
        <f t="shared" si="2"/>
        <v>144000</v>
      </c>
      <c r="N62" s="4">
        <f t="shared" si="3"/>
        <v>0.21052631578947367</v>
      </c>
      <c r="O62" t="str">
        <f t="shared" si="4"/>
        <v>Slow Moving</v>
      </c>
      <c r="P62" t="str">
        <f t="shared" si="5"/>
        <v/>
      </c>
      <c r="Q62" t="str">
        <f t="shared" si="6"/>
        <v/>
      </c>
      <c r="S62">
        <f t="shared" si="9"/>
        <v>15</v>
      </c>
      <c r="T62" t="str">
        <f t="shared" si="7"/>
        <v>0-30 Days</v>
      </c>
      <c r="U62">
        <f t="shared" si="8"/>
        <v>180000</v>
      </c>
      <c r="V62">
        <f>tbl_inventory[[#This Row],[Units_Sold]]*tbl_inventory[[#This Row],[Revenue]]</f>
        <v>12312000</v>
      </c>
    </row>
    <row r="63" spans="1:22" x14ac:dyDescent="0.25">
      <c r="A63" s="2" t="s">
        <v>12</v>
      </c>
      <c r="B63" t="s">
        <v>48</v>
      </c>
      <c r="C63" t="s">
        <v>44</v>
      </c>
      <c r="D63" t="s">
        <v>66</v>
      </c>
      <c r="E63" s="2">
        <v>45689</v>
      </c>
      <c r="F63" s="3">
        <v>97</v>
      </c>
      <c r="G63">
        <v>24</v>
      </c>
      <c r="H63">
        <v>73</v>
      </c>
      <c r="I63">
        <v>30000</v>
      </c>
      <c r="J63">
        <v>38000</v>
      </c>
      <c r="K63">
        <f t="shared" si="0"/>
        <v>912000</v>
      </c>
      <c r="L63">
        <f t="shared" si="1"/>
        <v>720000</v>
      </c>
      <c r="M63">
        <f t="shared" si="2"/>
        <v>192000</v>
      </c>
      <c r="N63" s="4">
        <f t="shared" si="3"/>
        <v>0.21052631578947367</v>
      </c>
      <c r="O63" t="str">
        <f t="shared" si="4"/>
        <v>Normal</v>
      </c>
      <c r="P63" t="str">
        <f t="shared" si="5"/>
        <v/>
      </c>
      <c r="Q63" t="str">
        <f t="shared" si="6"/>
        <v/>
      </c>
      <c r="S63">
        <f t="shared" si="9"/>
        <v>85</v>
      </c>
      <c r="T63" t="str">
        <f t="shared" si="7"/>
        <v>30-60 Days</v>
      </c>
      <c r="U63">
        <f t="shared" si="8"/>
        <v>2190000</v>
      </c>
      <c r="V63">
        <f>tbl_inventory[[#This Row],[Units_Sold]]*tbl_inventory[[#This Row],[Revenue]]</f>
        <v>21888000</v>
      </c>
    </row>
    <row r="64" spans="1:22" x14ac:dyDescent="0.25">
      <c r="A64" s="2" t="s">
        <v>12</v>
      </c>
      <c r="B64" t="s">
        <v>48</v>
      </c>
      <c r="C64" t="s">
        <v>44</v>
      </c>
      <c r="D64" t="s">
        <v>66</v>
      </c>
      <c r="E64" s="2">
        <v>45717</v>
      </c>
      <c r="F64" s="3">
        <v>86</v>
      </c>
      <c r="G64">
        <v>38</v>
      </c>
      <c r="H64">
        <v>48</v>
      </c>
      <c r="I64">
        <v>30000</v>
      </c>
      <c r="J64">
        <v>38000</v>
      </c>
      <c r="K64">
        <f t="shared" si="0"/>
        <v>1444000</v>
      </c>
      <c r="L64">
        <f t="shared" si="1"/>
        <v>1140000</v>
      </c>
      <c r="M64">
        <f t="shared" si="2"/>
        <v>304000</v>
      </c>
      <c r="N64" s="4">
        <f t="shared" si="3"/>
        <v>0.21052631578947367</v>
      </c>
      <c r="O64" t="str">
        <f t="shared" si="4"/>
        <v>Normal</v>
      </c>
      <c r="P64" t="str">
        <f t="shared" si="5"/>
        <v/>
      </c>
      <c r="Q64" t="str">
        <f t="shared" si="6"/>
        <v/>
      </c>
      <c r="S64">
        <f t="shared" si="9"/>
        <v>67</v>
      </c>
      <c r="T64" t="str">
        <f t="shared" si="7"/>
        <v>0-30 Days</v>
      </c>
      <c r="U64">
        <f t="shared" si="8"/>
        <v>1440000</v>
      </c>
      <c r="V64">
        <f>tbl_inventory[[#This Row],[Units_Sold]]*tbl_inventory[[#This Row],[Revenue]]</f>
        <v>54872000</v>
      </c>
    </row>
    <row r="65" spans="1:22" x14ac:dyDescent="0.25">
      <c r="A65" s="2" t="s">
        <v>12</v>
      </c>
      <c r="B65" t="s">
        <v>48</v>
      </c>
      <c r="C65" t="s">
        <v>44</v>
      </c>
      <c r="D65" t="s">
        <v>66</v>
      </c>
      <c r="E65" s="2">
        <v>45748</v>
      </c>
      <c r="F65" s="3">
        <v>87</v>
      </c>
      <c r="G65">
        <v>3</v>
      </c>
      <c r="H65">
        <v>84</v>
      </c>
      <c r="I65">
        <v>30000</v>
      </c>
      <c r="J65">
        <v>38000</v>
      </c>
      <c r="K65">
        <f t="shared" si="0"/>
        <v>114000</v>
      </c>
      <c r="L65">
        <f t="shared" si="1"/>
        <v>90000</v>
      </c>
      <c r="M65">
        <f t="shared" si="2"/>
        <v>24000</v>
      </c>
      <c r="N65" s="4">
        <f t="shared" si="3"/>
        <v>0.21052631578947367</v>
      </c>
      <c r="O65" t="str">
        <f t="shared" si="4"/>
        <v>Slow Moving</v>
      </c>
      <c r="P65" t="str">
        <f t="shared" si="5"/>
        <v/>
      </c>
      <c r="Q65" t="str">
        <f t="shared" si="6"/>
        <v/>
      </c>
      <c r="S65">
        <f t="shared" si="9"/>
        <v>85.5</v>
      </c>
      <c r="T65" t="str">
        <f t="shared" si="7"/>
        <v>30-60 Days</v>
      </c>
      <c r="U65">
        <f t="shared" si="8"/>
        <v>2520000</v>
      </c>
      <c r="V65">
        <f>tbl_inventory[[#This Row],[Units_Sold]]*tbl_inventory[[#This Row],[Revenue]]</f>
        <v>342000</v>
      </c>
    </row>
    <row r="66" spans="1:22" x14ac:dyDescent="0.25">
      <c r="A66" s="2" t="s">
        <v>12</v>
      </c>
      <c r="B66" t="s">
        <v>48</v>
      </c>
      <c r="C66" t="s">
        <v>44</v>
      </c>
      <c r="D66" t="s">
        <v>66</v>
      </c>
      <c r="E66" s="2">
        <v>45778</v>
      </c>
      <c r="F66" s="3">
        <v>96</v>
      </c>
      <c r="G66">
        <v>40</v>
      </c>
      <c r="H66">
        <v>56</v>
      </c>
      <c r="I66">
        <v>30000</v>
      </c>
      <c r="J66">
        <v>38000</v>
      </c>
      <c r="K66">
        <f t="shared" si="0"/>
        <v>1520000</v>
      </c>
      <c r="L66">
        <f t="shared" si="1"/>
        <v>1200000</v>
      </c>
      <c r="M66">
        <f t="shared" si="2"/>
        <v>320000</v>
      </c>
      <c r="N66" s="4">
        <f t="shared" si="3"/>
        <v>0.21052631578947367</v>
      </c>
      <c r="O66" t="str">
        <f t="shared" si="4"/>
        <v>Normal</v>
      </c>
      <c r="P66" t="str">
        <f t="shared" si="5"/>
        <v/>
      </c>
      <c r="Q66" t="str">
        <f t="shared" si="6"/>
        <v/>
      </c>
      <c r="S66">
        <f t="shared" si="9"/>
        <v>76</v>
      </c>
      <c r="T66" t="str">
        <f t="shared" si="7"/>
        <v>30-60 Days</v>
      </c>
      <c r="U66">
        <f t="shared" si="8"/>
        <v>1680000</v>
      </c>
      <c r="V66">
        <f>tbl_inventory[[#This Row],[Units_Sold]]*tbl_inventory[[#This Row],[Revenue]]</f>
        <v>60800000</v>
      </c>
    </row>
    <row r="67" spans="1:22" x14ac:dyDescent="0.25">
      <c r="A67" s="2" t="s">
        <v>12</v>
      </c>
      <c r="B67" t="s">
        <v>48</v>
      </c>
      <c r="C67" t="s">
        <v>44</v>
      </c>
      <c r="D67" t="s">
        <v>66</v>
      </c>
      <c r="E67" s="2">
        <v>45809</v>
      </c>
      <c r="F67" s="3">
        <v>86</v>
      </c>
      <c r="G67">
        <v>67</v>
      </c>
      <c r="H67">
        <v>19</v>
      </c>
      <c r="I67">
        <v>30000</v>
      </c>
      <c r="J67">
        <v>38000</v>
      </c>
      <c r="K67">
        <f t="shared" ref="K67:K130" si="10">G67*J67</f>
        <v>2546000</v>
      </c>
      <c r="L67">
        <f t="shared" ref="L67:L130" si="11">G67*I67</f>
        <v>2010000</v>
      </c>
      <c r="M67">
        <f t="shared" ref="M67:M130" si="12">K67-L67</f>
        <v>536000</v>
      </c>
      <c r="N67" s="4">
        <f t="shared" ref="N67:N130" si="13">IF(K67=0,0,M67/K67)</f>
        <v>0.21052631578947367</v>
      </c>
      <c r="O67" t="str">
        <f t="shared" ref="O67:O130" si="14">IF(G67&lt;20,"Slow Moving","Normal")</f>
        <v>Normal</v>
      </c>
      <c r="P67" t="str">
        <f t="shared" ref="P67:P130" si="15">IF(G67=0,"Dead Stock","")</f>
        <v/>
      </c>
      <c r="Q67" t="str">
        <f t="shared" ref="Q67:Q130" si="16">IF(N67&lt;0.1,"Low Margin","")</f>
        <v/>
      </c>
      <c r="S67">
        <f t="shared" ref="S67:S130" si="17">(F67+H67)/2</f>
        <v>52.5</v>
      </c>
      <c r="T67" t="str">
        <f t="shared" ref="T67:T130" si="18">IF(H67&gt;200,"90+ Days",
IF(H67&gt;100,"60-90 Days",
IF(H67&gt;50,"30-60 Days","0-30 Days")))</f>
        <v>0-30 Days</v>
      </c>
      <c r="U67">
        <f t="shared" ref="U67:U130" si="19">H67 * I67</f>
        <v>570000</v>
      </c>
      <c r="V67">
        <f>tbl_inventory[[#This Row],[Units_Sold]]*tbl_inventory[[#This Row],[Revenue]]</f>
        <v>170582000</v>
      </c>
    </row>
    <row r="68" spans="1:22" x14ac:dyDescent="0.25">
      <c r="A68" s="2" t="s">
        <v>12</v>
      </c>
      <c r="B68" t="s">
        <v>48</v>
      </c>
      <c r="C68" t="s">
        <v>44</v>
      </c>
      <c r="D68" t="s">
        <v>67</v>
      </c>
      <c r="E68" s="2">
        <v>45658</v>
      </c>
      <c r="F68" s="3">
        <v>52</v>
      </c>
      <c r="G68">
        <v>47</v>
      </c>
      <c r="H68">
        <v>5</v>
      </c>
      <c r="I68">
        <v>30000</v>
      </c>
      <c r="J68">
        <v>38000</v>
      </c>
      <c r="K68">
        <f t="shared" si="10"/>
        <v>1786000</v>
      </c>
      <c r="L68">
        <f t="shared" si="11"/>
        <v>1410000</v>
      </c>
      <c r="M68">
        <f t="shared" si="12"/>
        <v>376000</v>
      </c>
      <c r="N68" s="4">
        <f t="shared" si="13"/>
        <v>0.21052631578947367</v>
      </c>
      <c r="O68" t="str">
        <f t="shared" si="14"/>
        <v>Normal</v>
      </c>
      <c r="P68" t="str">
        <f t="shared" si="15"/>
        <v/>
      </c>
      <c r="Q68" t="str">
        <f t="shared" si="16"/>
        <v/>
      </c>
      <c r="S68">
        <f t="shared" si="17"/>
        <v>28.5</v>
      </c>
      <c r="T68" t="str">
        <f t="shared" si="18"/>
        <v>0-30 Days</v>
      </c>
      <c r="U68">
        <f t="shared" si="19"/>
        <v>150000</v>
      </c>
      <c r="V68">
        <f>tbl_inventory[[#This Row],[Units_Sold]]*tbl_inventory[[#This Row],[Revenue]]</f>
        <v>83942000</v>
      </c>
    </row>
    <row r="69" spans="1:22" x14ac:dyDescent="0.25">
      <c r="A69" s="2" t="s">
        <v>12</v>
      </c>
      <c r="B69" t="s">
        <v>48</v>
      </c>
      <c r="C69" t="s">
        <v>44</v>
      </c>
      <c r="D69" t="s">
        <v>67</v>
      </c>
      <c r="E69" s="2">
        <v>45689</v>
      </c>
      <c r="F69" s="3">
        <v>47</v>
      </c>
      <c r="G69">
        <v>18</v>
      </c>
      <c r="H69">
        <v>29</v>
      </c>
      <c r="I69">
        <v>30000</v>
      </c>
      <c r="J69">
        <v>38000</v>
      </c>
      <c r="K69">
        <f t="shared" si="10"/>
        <v>684000</v>
      </c>
      <c r="L69">
        <f t="shared" si="11"/>
        <v>540000</v>
      </c>
      <c r="M69">
        <f t="shared" si="12"/>
        <v>144000</v>
      </c>
      <c r="N69" s="4">
        <f t="shared" si="13"/>
        <v>0.21052631578947367</v>
      </c>
      <c r="O69" t="str">
        <f t="shared" si="14"/>
        <v>Slow Moving</v>
      </c>
      <c r="P69" t="str">
        <f t="shared" si="15"/>
        <v/>
      </c>
      <c r="Q69" t="str">
        <f t="shared" si="16"/>
        <v/>
      </c>
      <c r="S69">
        <f t="shared" si="17"/>
        <v>38</v>
      </c>
      <c r="T69" t="str">
        <f t="shared" si="18"/>
        <v>0-30 Days</v>
      </c>
      <c r="U69">
        <f t="shared" si="19"/>
        <v>870000</v>
      </c>
      <c r="V69">
        <f>tbl_inventory[[#This Row],[Units_Sold]]*tbl_inventory[[#This Row],[Revenue]]</f>
        <v>12312000</v>
      </c>
    </row>
    <row r="70" spans="1:22" x14ac:dyDescent="0.25">
      <c r="A70" s="2" t="s">
        <v>12</v>
      </c>
      <c r="B70" t="s">
        <v>48</v>
      </c>
      <c r="C70" t="s">
        <v>44</v>
      </c>
      <c r="D70" t="s">
        <v>67</v>
      </c>
      <c r="E70" s="2">
        <v>45717</v>
      </c>
      <c r="F70" s="3">
        <v>88</v>
      </c>
      <c r="G70">
        <v>38</v>
      </c>
      <c r="H70">
        <v>50</v>
      </c>
      <c r="I70">
        <v>30000</v>
      </c>
      <c r="J70">
        <v>38000</v>
      </c>
      <c r="K70">
        <f t="shared" si="10"/>
        <v>1444000</v>
      </c>
      <c r="L70">
        <f t="shared" si="11"/>
        <v>1140000</v>
      </c>
      <c r="M70">
        <f t="shared" si="12"/>
        <v>304000</v>
      </c>
      <c r="N70" s="4">
        <f t="shared" si="13"/>
        <v>0.21052631578947367</v>
      </c>
      <c r="O70" t="str">
        <f t="shared" si="14"/>
        <v>Normal</v>
      </c>
      <c r="P70" t="str">
        <f t="shared" si="15"/>
        <v/>
      </c>
      <c r="Q70" t="str">
        <f t="shared" si="16"/>
        <v/>
      </c>
      <c r="S70">
        <f t="shared" si="17"/>
        <v>69</v>
      </c>
      <c r="T70" t="str">
        <f t="shared" si="18"/>
        <v>0-30 Days</v>
      </c>
      <c r="U70">
        <f t="shared" si="19"/>
        <v>1500000</v>
      </c>
      <c r="V70">
        <f>tbl_inventory[[#This Row],[Units_Sold]]*tbl_inventory[[#This Row],[Revenue]]</f>
        <v>54872000</v>
      </c>
    </row>
    <row r="71" spans="1:22" x14ac:dyDescent="0.25">
      <c r="A71" s="2" t="s">
        <v>12</v>
      </c>
      <c r="B71" t="s">
        <v>48</v>
      </c>
      <c r="C71" t="s">
        <v>44</v>
      </c>
      <c r="D71" t="s">
        <v>67</v>
      </c>
      <c r="E71" s="2">
        <v>45748</v>
      </c>
      <c r="F71" s="3">
        <v>93</v>
      </c>
      <c r="G71">
        <v>2</v>
      </c>
      <c r="H71">
        <v>91</v>
      </c>
      <c r="I71">
        <v>30000</v>
      </c>
      <c r="J71">
        <v>38000</v>
      </c>
      <c r="K71">
        <f t="shared" si="10"/>
        <v>76000</v>
      </c>
      <c r="L71">
        <f t="shared" si="11"/>
        <v>60000</v>
      </c>
      <c r="M71">
        <f t="shared" si="12"/>
        <v>16000</v>
      </c>
      <c r="N71" s="4">
        <f t="shared" si="13"/>
        <v>0.21052631578947367</v>
      </c>
      <c r="O71" t="str">
        <f t="shared" si="14"/>
        <v>Slow Moving</v>
      </c>
      <c r="P71" t="str">
        <f t="shared" si="15"/>
        <v/>
      </c>
      <c r="Q71" t="str">
        <f t="shared" si="16"/>
        <v/>
      </c>
      <c r="S71">
        <f t="shared" si="17"/>
        <v>92</v>
      </c>
      <c r="T71" t="str">
        <f t="shared" si="18"/>
        <v>30-60 Days</v>
      </c>
      <c r="U71">
        <f t="shared" si="19"/>
        <v>2730000</v>
      </c>
      <c r="V71">
        <f>tbl_inventory[[#This Row],[Units_Sold]]*tbl_inventory[[#This Row],[Revenue]]</f>
        <v>152000</v>
      </c>
    </row>
    <row r="72" spans="1:22" x14ac:dyDescent="0.25">
      <c r="A72" s="2" t="s">
        <v>12</v>
      </c>
      <c r="B72" t="s">
        <v>48</v>
      </c>
      <c r="C72" t="s">
        <v>44</v>
      </c>
      <c r="D72" t="s">
        <v>67</v>
      </c>
      <c r="E72" s="2">
        <v>45778</v>
      </c>
      <c r="F72" s="3">
        <v>94</v>
      </c>
      <c r="G72">
        <v>54</v>
      </c>
      <c r="H72">
        <v>40</v>
      </c>
      <c r="I72">
        <v>30000</v>
      </c>
      <c r="J72">
        <v>38000</v>
      </c>
      <c r="K72">
        <f t="shared" si="10"/>
        <v>2052000</v>
      </c>
      <c r="L72">
        <f t="shared" si="11"/>
        <v>1620000</v>
      </c>
      <c r="M72">
        <f t="shared" si="12"/>
        <v>432000</v>
      </c>
      <c r="N72" s="4">
        <f t="shared" si="13"/>
        <v>0.21052631578947367</v>
      </c>
      <c r="O72" t="str">
        <f t="shared" si="14"/>
        <v>Normal</v>
      </c>
      <c r="P72" t="str">
        <f t="shared" si="15"/>
        <v/>
      </c>
      <c r="Q72" t="str">
        <f t="shared" si="16"/>
        <v/>
      </c>
      <c r="S72">
        <f t="shared" si="17"/>
        <v>67</v>
      </c>
      <c r="T72" t="str">
        <f t="shared" si="18"/>
        <v>0-30 Days</v>
      </c>
      <c r="U72">
        <f t="shared" si="19"/>
        <v>1200000</v>
      </c>
      <c r="V72">
        <f>tbl_inventory[[#This Row],[Units_Sold]]*tbl_inventory[[#This Row],[Revenue]]</f>
        <v>110808000</v>
      </c>
    </row>
    <row r="73" spans="1:22" x14ac:dyDescent="0.25">
      <c r="A73" s="2" t="s">
        <v>12</v>
      </c>
      <c r="B73" t="s">
        <v>48</v>
      </c>
      <c r="C73" t="s">
        <v>44</v>
      </c>
      <c r="D73" t="s">
        <v>67</v>
      </c>
      <c r="E73" s="2">
        <v>45809</v>
      </c>
      <c r="F73" s="3">
        <v>32</v>
      </c>
      <c r="G73">
        <v>22</v>
      </c>
      <c r="H73">
        <v>10</v>
      </c>
      <c r="I73">
        <v>30000</v>
      </c>
      <c r="J73">
        <v>38000</v>
      </c>
      <c r="K73">
        <f t="shared" si="10"/>
        <v>836000</v>
      </c>
      <c r="L73">
        <f t="shared" si="11"/>
        <v>660000</v>
      </c>
      <c r="M73">
        <f t="shared" si="12"/>
        <v>176000</v>
      </c>
      <c r="N73" s="4">
        <f t="shared" si="13"/>
        <v>0.21052631578947367</v>
      </c>
      <c r="O73" t="str">
        <f t="shared" si="14"/>
        <v>Normal</v>
      </c>
      <c r="P73" t="str">
        <f t="shared" si="15"/>
        <v/>
      </c>
      <c r="Q73" t="str">
        <f t="shared" si="16"/>
        <v/>
      </c>
      <c r="S73">
        <f t="shared" si="17"/>
        <v>21</v>
      </c>
      <c r="T73" t="str">
        <f t="shared" si="18"/>
        <v>0-30 Days</v>
      </c>
      <c r="U73">
        <f t="shared" si="19"/>
        <v>300000</v>
      </c>
      <c r="V73">
        <f>tbl_inventory[[#This Row],[Units_Sold]]*tbl_inventory[[#This Row],[Revenue]]</f>
        <v>18392000</v>
      </c>
    </row>
    <row r="74" spans="1:22" x14ac:dyDescent="0.25">
      <c r="A74" s="2" t="s">
        <v>13</v>
      </c>
      <c r="B74" t="s">
        <v>49</v>
      </c>
      <c r="C74" t="s">
        <v>44</v>
      </c>
      <c r="D74" t="s">
        <v>64</v>
      </c>
      <c r="E74" s="2">
        <v>45658</v>
      </c>
      <c r="F74" s="3">
        <v>69</v>
      </c>
      <c r="G74">
        <v>40</v>
      </c>
      <c r="H74">
        <v>29</v>
      </c>
      <c r="I74">
        <v>2000</v>
      </c>
      <c r="J74">
        <v>3500</v>
      </c>
      <c r="K74">
        <f t="shared" si="10"/>
        <v>140000</v>
      </c>
      <c r="L74">
        <f t="shared" si="11"/>
        <v>80000</v>
      </c>
      <c r="M74">
        <f t="shared" si="12"/>
        <v>60000</v>
      </c>
      <c r="N74" s="4">
        <f t="shared" si="13"/>
        <v>0.42857142857142855</v>
      </c>
      <c r="O74" t="str">
        <f t="shared" si="14"/>
        <v>Normal</v>
      </c>
      <c r="P74" t="str">
        <f t="shared" si="15"/>
        <v/>
      </c>
      <c r="Q74" t="str">
        <f t="shared" si="16"/>
        <v/>
      </c>
      <c r="S74">
        <f t="shared" si="17"/>
        <v>49</v>
      </c>
      <c r="T74" t="str">
        <f t="shared" si="18"/>
        <v>0-30 Days</v>
      </c>
      <c r="U74">
        <f t="shared" si="19"/>
        <v>58000</v>
      </c>
      <c r="V74">
        <f>tbl_inventory[[#This Row],[Units_Sold]]*tbl_inventory[[#This Row],[Revenue]]</f>
        <v>5600000</v>
      </c>
    </row>
    <row r="75" spans="1:22" x14ac:dyDescent="0.25">
      <c r="A75" s="2" t="s">
        <v>13</v>
      </c>
      <c r="B75" t="s">
        <v>49</v>
      </c>
      <c r="C75" t="s">
        <v>44</v>
      </c>
      <c r="D75" t="s">
        <v>64</v>
      </c>
      <c r="E75" s="2">
        <v>45689</v>
      </c>
      <c r="F75" s="3">
        <v>48</v>
      </c>
      <c r="G75">
        <v>26</v>
      </c>
      <c r="H75">
        <v>22</v>
      </c>
      <c r="I75">
        <v>2000</v>
      </c>
      <c r="J75">
        <v>3500</v>
      </c>
      <c r="K75">
        <f t="shared" si="10"/>
        <v>91000</v>
      </c>
      <c r="L75">
        <f t="shared" si="11"/>
        <v>52000</v>
      </c>
      <c r="M75">
        <f t="shared" si="12"/>
        <v>39000</v>
      </c>
      <c r="N75" s="4">
        <f t="shared" si="13"/>
        <v>0.42857142857142855</v>
      </c>
      <c r="O75" t="str">
        <f t="shared" si="14"/>
        <v>Normal</v>
      </c>
      <c r="P75" t="str">
        <f t="shared" si="15"/>
        <v/>
      </c>
      <c r="Q75" t="str">
        <f t="shared" si="16"/>
        <v/>
      </c>
      <c r="S75">
        <f t="shared" si="17"/>
        <v>35</v>
      </c>
      <c r="T75" t="str">
        <f t="shared" si="18"/>
        <v>0-30 Days</v>
      </c>
      <c r="U75">
        <f t="shared" si="19"/>
        <v>44000</v>
      </c>
      <c r="V75">
        <f>tbl_inventory[[#This Row],[Units_Sold]]*tbl_inventory[[#This Row],[Revenue]]</f>
        <v>2366000</v>
      </c>
    </row>
    <row r="76" spans="1:22" x14ac:dyDescent="0.25">
      <c r="A76" s="2" t="s">
        <v>13</v>
      </c>
      <c r="B76" t="s">
        <v>49</v>
      </c>
      <c r="C76" t="s">
        <v>44</v>
      </c>
      <c r="D76" t="s">
        <v>64</v>
      </c>
      <c r="E76" s="2">
        <v>45717</v>
      </c>
      <c r="F76" s="3">
        <v>63</v>
      </c>
      <c r="G76">
        <v>36</v>
      </c>
      <c r="H76">
        <v>27</v>
      </c>
      <c r="I76">
        <v>2000</v>
      </c>
      <c r="J76">
        <v>3500</v>
      </c>
      <c r="K76">
        <f t="shared" si="10"/>
        <v>126000</v>
      </c>
      <c r="L76">
        <f t="shared" si="11"/>
        <v>72000</v>
      </c>
      <c r="M76">
        <f t="shared" si="12"/>
        <v>54000</v>
      </c>
      <c r="N76" s="4">
        <f t="shared" si="13"/>
        <v>0.42857142857142855</v>
      </c>
      <c r="O76" t="str">
        <f t="shared" si="14"/>
        <v>Normal</v>
      </c>
      <c r="P76" t="str">
        <f t="shared" si="15"/>
        <v/>
      </c>
      <c r="Q76" t="str">
        <f t="shared" si="16"/>
        <v/>
      </c>
      <c r="S76">
        <f t="shared" si="17"/>
        <v>45</v>
      </c>
      <c r="T76" t="str">
        <f t="shared" si="18"/>
        <v>0-30 Days</v>
      </c>
      <c r="U76">
        <f t="shared" si="19"/>
        <v>54000</v>
      </c>
      <c r="V76">
        <f>tbl_inventory[[#This Row],[Units_Sold]]*tbl_inventory[[#This Row],[Revenue]]</f>
        <v>4536000</v>
      </c>
    </row>
    <row r="77" spans="1:22" x14ac:dyDescent="0.25">
      <c r="A77" s="2" t="s">
        <v>13</v>
      </c>
      <c r="B77" t="s">
        <v>49</v>
      </c>
      <c r="C77" t="s">
        <v>44</v>
      </c>
      <c r="D77" t="s">
        <v>64</v>
      </c>
      <c r="E77" s="2">
        <v>45748</v>
      </c>
      <c r="F77" s="3">
        <v>59</v>
      </c>
      <c r="G77">
        <v>36</v>
      </c>
      <c r="H77">
        <v>23</v>
      </c>
      <c r="I77">
        <v>2000</v>
      </c>
      <c r="J77">
        <v>3500</v>
      </c>
      <c r="K77">
        <f t="shared" si="10"/>
        <v>126000</v>
      </c>
      <c r="L77">
        <f t="shared" si="11"/>
        <v>72000</v>
      </c>
      <c r="M77">
        <f t="shared" si="12"/>
        <v>54000</v>
      </c>
      <c r="N77" s="4">
        <f t="shared" si="13"/>
        <v>0.42857142857142855</v>
      </c>
      <c r="O77" t="str">
        <f t="shared" si="14"/>
        <v>Normal</v>
      </c>
      <c r="P77" t="str">
        <f t="shared" si="15"/>
        <v/>
      </c>
      <c r="Q77" t="str">
        <f t="shared" si="16"/>
        <v/>
      </c>
      <c r="S77">
        <f t="shared" si="17"/>
        <v>41</v>
      </c>
      <c r="T77" t="str">
        <f t="shared" si="18"/>
        <v>0-30 Days</v>
      </c>
      <c r="U77">
        <f t="shared" si="19"/>
        <v>46000</v>
      </c>
      <c r="V77">
        <f>tbl_inventory[[#This Row],[Units_Sold]]*tbl_inventory[[#This Row],[Revenue]]</f>
        <v>4536000</v>
      </c>
    </row>
    <row r="78" spans="1:22" x14ac:dyDescent="0.25">
      <c r="A78" s="2" t="s">
        <v>13</v>
      </c>
      <c r="B78" t="s">
        <v>49</v>
      </c>
      <c r="C78" t="s">
        <v>44</v>
      </c>
      <c r="D78" t="s">
        <v>64</v>
      </c>
      <c r="E78" s="2">
        <v>45778</v>
      </c>
      <c r="F78" s="3">
        <v>77</v>
      </c>
      <c r="G78">
        <v>64</v>
      </c>
      <c r="H78">
        <v>13</v>
      </c>
      <c r="I78">
        <v>2000</v>
      </c>
      <c r="J78">
        <v>3500</v>
      </c>
      <c r="K78">
        <f t="shared" si="10"/>
        <v>224000</v>
      </c>
      <c r="L78">
        <f t="shared" si="11"/>
        <v>128000</v>
      </c>
      <c r="M78">
        <f t="shared" si="12"/>
        <v>96000</v>
      </c>
      <c r="N78" s="4">
        <f t="shared" si="13"/>
        <v>0.42857142857142855</v>
      </c>
      <c r="O78" t="str">
        <f t="shared" si="14"/>
        <v>Normal</v>
      </c>
      <c r="P78" t="str">
        <f t="shared" si="15"/>
        <v/>
      </c>
      <c r="Q78" t="str">
        <f t="shared" si="16"/>
        <v/>
      </c>
      <c r="S78">
        <f t="shared" si="17"/>
        <v>45</v>
      </c>
      <c r="T78" t="str">
        <f t="shared" si="18"/>
        <v>0-30 Days</v>
      </c>
      <c r="U78">
        <f t="shared" si="19"/>
        <v>26000</v>
      </c>
      <c r="V78">
        <f>tbl_inventory[[#This Row],[Units_Sold]]*tbl_inventory[[#This Row],[Revenue]]</f>
        <v>14336000</v>
      </c>
    </row>
    <row r="79" spans="1:22" x14ac:dyDescent="0.25">
      <c r="A79" s="2" t="s">
        <v>13</v>
      </c>
      <c r="B79" t="s">
        <v>49</v>
      </c>
      <c r="C79" t="s">
        <v>44</v>
      </c>
      <c r="D79" t="s">
        <v>64</v>
      </c>
      <c r="E79" s="2">
        <v>45809</v>
      </c>
      <c r="F79" s="3">
        <v>67</v>
      </c>
      <c r="G79">
        <v>41</v>
      </c>
      <c r="H79">
        <v>26</v>
      </c>
      <c r="I79">
        <v>2000</v>
      </c>
      <c r="J79">
        <v>3500</v>
      </c>
      <c r="K79">
        <f t="shared" si="10"/>
        <v>143500</v>
      </c>
      <c r="L79">
        <f t="shared" si="11"/>
        <v>82000</v>
      </c>
      <c r="M79">
        <f t="shared" si="12"/>
        <v>61500</v>
      </c>
      <c r="N79" s="4">
        <f t="shared" si="13"/>
        <v>0.42857142857142855</v>
      </c>
      <c r="O79" t="str">
        <f t="shared" si="14"/>
        <v>Normal</v>
      </c>
      <c r="P79" t="str">
        <f t="shared" si="15"/>
        <v/>
      </c>
      <c r="Q79" t="str">
        <f t="shared" si="16"/>
        <v/>
      </c>
      <c r="S79">
        <f t="shared" si="17"/>
        <v>46.5</v>
      </c>
      <c r="T79" t="str">
        <f t="shared" si="18"/>
        <v>0-30 Days</v>
      </c>
      <c r="U79">
        <f t="shared" si="19"/>
        <v>52000</v>
      </c>
      <c r="V79">
        <f>tbl_inventory[[#This Row],[Units_Sold]]*tbl_inventory[[#This Row],[Revenue]]</f>
        <v>5883500</v>
      </c>
    </row>
    <row r="80" spans="1:22" x14ac:dyDescent="0.25">
      <c r="A80" s="2" t="s">
        <v>13</v>
      </c>
      <c r="B80" t="s">
        <v>49</v>
      </c>
      <c r="C80" t="s">
        <v>44</v>
      </c>
      <c r="D80" t="s">
        <v>65</v>
      </c>
      <c r="E80" s="2">
        <v>45658</v>
      </c>
      <c r="F80" s="3">
        <v>89</v>
      </c>
      <c r="G80">
        <v>89</v>
      </c>
      <c r="H80">
        <v>0</v>
      </c>
      <c r="I80">
        <v>2000</v>
      </c>
      <c r="J80">
        <v>3500</v>
      </c>
      <c r="K80">
        <f t="shared" si="10"/>
        <v>311500</v>
      </c>
      <c r="L80">
        <f t="shared" si="11"/>
        <v>178000</v>
      </c>
      <c r="M80">
        <f t="shared" si="12"/>
        <v>133500</v>
      </c>
      <c r="N80" s="4">
        <f t="shared" si="13"/>
        <v>0.42857142857142855</v>
      </c>
      <c r="O80" t="str">
        <f t="shared" si="14"/>
        <v>Normal</v>
      </c>
      <c r="P80" t="str">
        <f t="shared" si="15"/>
        <v/>
      </c>
      <c r="Q80" t="str">
        <f t="shared" si="16"/>
        <v/>
      </c>
      <c r="S80">
        <f t="shared" si="17"/>
        <v>44.5</v>
      </c>
      <c r="T80" t="str">
        <f t="shared" si="18"/>
        <v>0-30 Days</v>
      </c>
      <c r="U80">
        <f t="shared" si="19"/>
        <v>0</v>
      </c>
      <c r="V80">
        <f>tbl_inventory[[#This Row],[Units_Sold]]*tbl_inventory[[#This Row],[Revenue]]</f>
        <v>27723500</v>
      </c>
    </row>
    <row r="81" spans="1:22" x14ac:dyDescent="0.25">
      <c r="A81" s="2" t="s">
        <v>13</v>
      </c>
      <c r="B81" t="s">
        <v>49</v>
      </c>
      <c r="C81" t="s">
        <v>44</v>
      </c>
      <c r="D81" t="s">
        <v>65</v>
      </c>
      <c r="E81" s="2">
        <v>45689</v>
      </c>
      <c r="F81" s="3">
        <v>81</v>
      </c>
      <c r="G81">
        <v>6</v>
      </c>
      <c r="H81">
        <v>75</v>
      </c>
      <c r="I81">
        <v>2000</v>
      </c>
      <c r="J81">
        <v>3500</v>
      </c>
      <c r="K81">
        <f t="shared" si="10"/>
        <v>21000</v>
      </c>
      <c r="L81">
        <f t="shared" si="11"/>
        <v>12000</v>
      </c>
      <c r="M81">
        <f t="shared" si="12"/>
        <v>9000</v>
      </c>
      <c r="N81" s="4">
        <f t="shared" si="13"/>
        <v>0.42857142857142855</v>
      </c>
      <c r="O81" t="str">
        <f t="shared" si="14"/>
        <v>Slow Moving</v>
      </c>
      <c r="P81" t="str">
        <f t="shared" si="15"/>
        <v/>
      </c>
      <c r="Q81" t="str">
        <f t="shared" si="16"/>
        <v/>
      </c>
      <c r="S81">
        <f t="shared" si="17"/>
        <v>78</v>
      </c>
      <c r="T81" t="str">
        <f t="shared" si="18"/>
        <v>30-60 Days</v>
      </c>
      <c r="U81">
        <f t="shared" si="19"/>
        <v>150000</v>
      </c>
      <c r="V81">
        <f>tbl_inventory[[#This Row],[Units_Sold]]*tbl_inventory[[#This Row],[Revenue]]</f>
        <v>126000</v>
      </c>
    </row>
    <row r="82" spans="1:22" x14ac:dyDescent="0.25">
      <c r="A82" s="2" t="s">
        <v>13</v>
      </c>
      <c r="B82" t="s">
        <v>49</v>
      </c>
      <c r="C82" t="s">
        <v>44</v>
      </c>
      <c r="D82" t="s">
        <v>65</v>
      </c>
      <c r="E82" s="2">
        <v>45717</v>
      </c>
      <c r="F82" s="3">
        <v>65</v>
      </c>
      <c r="G82">
        <v>51</v>
      </c>
      <c r="H82">
        <v>14</v>
      </c>
      <c r="I82">
        <v>2000</v>
      </c>
      <c r="J82">
        <v>3500</v>
      </c>
      <c r="K82">
        <f t="shared" si="10"/>
        <v>178500</v>
      </c>
      <c r="L82">
        <f t="shared" si="11"/>
        <v>102000</v>
      </c>
      <c r="M82">
        <f t="shared" si="12"/>
        <v>76500</v>
      </c>
      <c r="N82" s="4">
        <f t="shared" si="13"/>
        <v>0.42857142857142855</v>
      </c>
      <c r="O82" t="str">
        <f t="shared" si="14"/>
        <v>Normal</v>
      </c>
      <c r="P82" t="str">
        <f t="shared" si="15"/>
        <v/>
      </c>
      <c r="Q82" t="str">
        <f t="shared" si="16"/>
        <v/>
      </c>
      <c r="S82">
        <f t="shared" si="17"/>
        <v>39.5</v>
      </c>
      <c r="T82" t="str">
        <f t="shared" si="18"/>
        <v>0-30 Days</v>
      </c>
      <c r="U82">
        <f t="shared" si="19"/>
        <v>28000</v>
      </c>
      <c r="V82">
        <f>tbl_inventory[[#This Row],[Units_Sold]]*tbl_inventory[[#This Row],[Revenue]]</f>
        <v>9103500</v>
      </c>
    </row>
    <row r="83" spans="1:22" x14ac:dyDescent="0.25">
      <c r="A83" s="2" t="s">
        <v>13</v>
      </c>
      <c r="B83" t="s">
        <v>49</v>
      </c>
      <c r="C83" t="s">
        <v>44</v>
      </c>
      <c r="D83" t="s">
        <v>65</v>
      </c>
      <c r="E83" s="2">
        <v>45748</v>
      </c>
      <c r="F83" s="3">
        <v>87</v>
      </c>
      <c r="G83">
        <v>51</v>
      </c>
      <c r="H83">
        <v>36</v>
      </c>
      <c r="I83">
        <v>2000</v>
      </c>
      <c r="J83">
        <v>3500</v>
      </c>
      <c r="K83">
        <f t="shared" si="10"/>
        <v>178500</v>
      </c>
      <c r="L83">
        <f t="shared" si="11"/>
        <v>102000</v>
      </c>
      <c r="M83">
        <f t="shared" si="12"/>
        <v>76500</v>
      </c>
      <c r="N83" s="4">
        <f t="shared" si="13"/>
        <v>0.42857142857142855</v>
      </c>
      <c r="O83" t="str">
        <f t="shared" si="14"/>
        <v>Normal</v>
      </c>
      <c r="P83" t="str">
        <f t="shared" si="15"/>
        <v/>
      </c>
      <c r="Q83" t="str">
        <f t="shared" si="16"/>
        <v/>
      </c>
      <c r="S83">
        <f t="shared" si="17"/>
        <v>61.5</v>
      </c>
      <c r="T83" t="str">
        <f t="shared" si="18"/>
        <v>0-30 Days</v>
      </c>
      <c r="U83">
        <f t="shared" si="19"/>
        <v>72000</v>
      </c>
      <c r="V83">
        <f>tbl_inventory[[#This Row],[Units_Sold]]*tbl_inventory[[#This Row],[Revenue]]</f>
        <v>9103500</v>
      </c>
    </row>
    <row r="84" spans="1:22" x14ac:dyDescent="0.25">
      <c r="A84" s="2" t="s">
        <v>13</v>
      </c>
      <c r="B84" t="s">
        <v>49</v>
      </c>
      <c r="C84" t="s">
        <v>44</v>
      </c>
      <c r="D84" t="s">
        <v>65</v>
      </c>
      <c r="E84" s="2">
        <v>45778</v>
      </c>
      <c r="F84" s="3">
        <v>64</v>
      </c>
      <c r="G84">
        <v>0</v>
      </c>
      <c r="H84">
        <v>64</v>
      </c>
      <c r="I84">
        <v>2000</v>
      </c>
      <c r="J84">
        <v>3500</v>
      </c>
      <c r="K84">
        <f t="shared" si="10"/>
        <v>0</v>
      </c>
      <c r="L84">
        <f t="shared" si="11"/>
        <v>0</v>
      </c>
      <c r="M84">
        <f t="shared" si="12"/>
        <v>0</v>
      </c>
      <c r="N84" s="4">
        <f t="shared" si="13"/>
        <v>0</v>
      </c>
      <c r="O84" t="str">
        <f t="shared" si="14"/>
        <v>Slow Moving</v>
      </c>
      <c r="P84" t="str">
        <f t="shared" si="15"/>
        <v>Dead Stock</v>
      </c>
      <c r="Q84" t="str">
        <f t="shared" si="16"/>
        <v>Low Margin</v>
      </c>
      <c r="S84">
        <f t="shared" si="17"/>
        <v>64</v>
      </c>
      <c r="T84" t="str">
        <f t="shared" si="18"/>
        <v>30-60 Days</v>
      </c>
      <c r="U84">
        <f t="shared" si="19"/>
        <v>128000</v>
      </c>
      <c r="V84">
        <f>tbl_inventory[[#This Row],[Units_Sold]]*tbl_inventory[[#This Row],[Revenue]]</f>
        <v>0</v>
      </c>
    </row>
    <row r="85" spans="1:22" x14ac:dyDescent="0.25">
      <c r="A85" s="2" t="s">
        <v>13</v>
      </c>
      <c r="B85" t="s">
        <v>49</v>
      </c>
      <c r="C85" t="s">
        <v>44</v>
      </c>
      <c r="D85" t="s">
        <v>65</v>
      </c>
      <c r="E85" s="2">
        <v>45809</v>
      </c>
      <c r="F85" s="3">
        <v>36</v>
      </c>
      <c r="G85">
        <v>10</v>
      </c>
      <c r="H85">
        <v>26</v>
      </c>
      <c r="I85">
        <v>2000</v>
      </c>
      <c r="J85">
        <v>3500</v>
      </c>
      <c r="K85">
        <f t="shared" si="10"/>
        <v>35000</v>
      </c>
      <c r="L85">
        <f t="shared" si="11"/>
        <v>20000</v>
      </c>
      <c r="M85">
        <f t="shared" si="12"/>
        <v>15000</v>
      </c>
      <c r="N85" s="4">
        <f t="shared" si="13"/>
        <v>0.42857142857142855</v>
      </c>
      <c r="O85" t="str">
        <f t="shared" si="14"/>
        <v>Slow Moving</v>
      </c>
      <c r="P85" t="str">
        <f t="shared" si="15"/>
        <v/>
      </c>
      <c r="Q85" t="str">
        <f t="shared" si="16"/>
        <v/>
      </c>
      <c r="S85">
        <f t="shared" si="17"/>
        <v>31</v>
      </c>
      <c r="T85" t="str">
        <f t="shared" si="18"/>
        <v>0-30 Days</v>
      </c>
      <c r="U85">
        <f t="shared" si="19"/>
        <v>52000</v>
      </c>
      <c r="V85">
        <f>tbl_inventory[[#This Row],[Units_Sold]]*tbl_inventory[[#This Row],[Revenue]]</f>
        <v>350000</v>
      </c>
    </row>
    <row r="86" spans="1:22" x14ac:dyDescent="0.25">
      <c r="A86" s="2" t="s">
        <v>13</v>
      </c>
      <c r="B86" t="s">
        <v>49</v>
      </c>
      <c r="C86" t="s">
        <v>44</v>
      </c>
      <c r="D86" t="s">
        <v>66</v>
      </c>
      <c r="E86" s="2">
        <v>45658</v>
      </c>
      <c r="F86" s="3">
        <v>83</v>
      </c>
      <c r="G86">
        <v>39</v>
      </c>
      <c r="H86">
        <v>44</v>
      </c>
      <c r="I86">
        <v>2000</v>
      </c>
      <c r="J86">
        <v>3500</v>
      </c>
      <c r="K86">
        <f t="shared" si="10"/>
        <v>136500</v>
      </c>
      <c r="L86">
        <f t="shared" si="11"/>
        <v>78000</v>
      </c>
      <c r="M86">
        <f t="shared" si="12"/>
        <v>58500</v>
      </c>
      <c r="N86" s="4">
        <f t="shared" si="13"/>
        <v>0.42857142857142855</v>
      </c>
      <c r="O86" t="str">
        <f t="shared" si="14"/>
        <v>Normal</v>
      </c>
      <c r="P86" t="str">
        <f t="shared" si="15"/>
        <v/>
      </c>
      <c r="Q86" t="str">
        <f t="shared" si="16"/>
        <v/>
      </c>
      <c r="S86">
        <f t="shared" si="17"/>
        <v>63.5</v>
      </c>
      <c r="T86" t="str">
        <f t="shared" si="18"/>
        <v>0-30 Days</v>
      </c>
      <c r="U86">
        <f t="shared" si="19"/>
        <v>88000</v>
      </c>
      <c r="V86">
        <f>tbl_inventory[[#This Row],[Units_Sold]]*tbl_inventory[[#This Row],[Revenue]]</f>
        <v>5323500</v>
      </c>
    </row>
    <row r="87" spans="1:22" x14ac:dyDescent="0.25">
      <c r="A87" s="2" t="s">
        <v>13</v>
      </c>
      <c r="B87" t="s">
        <v>49</v>
      </c>
      <c r="C87" t="s">
        <v>44</v>
      </c>
      <c r="D87" t="s">
        <v>66</v>
      </c>
      <c r="E87" s="2">
        <v>45689</v>
      </c>
      <c r="F87" s="3">
        <v>66</v>
      </c>
      <c r="G87">
        <v>12</v>
      </c>
      <c r="H87">
        <v>54</v>
      </c>
      <c r="I87">
        <v>2000</v>
      </c>
      <c r="J87">
        <v>3500</v>
      </c>
      <c r="K87">
        <f t="shared" si="10"/>
        <v>42000</v>
      </c>
      <c r="L87">
        <f t="shared" si="11"/>
        <v>24000</v>
      </c>
      <c r="M87">
        <f t="shared" si="12"/>
        <v>18000</v>
      </c>
      <c r="N87" s="4">
        <f t="shared" si="13"/>
        <v>0.42857142857142855</v>
      </c>
      <c r="O87" t="str">
        <f t="shared" si="14"/>
        <v>Slow Moving</v>
      </c>
      <c r="P87" t="str">
        <f t="shared" si="15"/>
        <v/>
      </c>
      <c r="Q87" t="str">
        <f t="shared" si="16"/>
        <v/>
      </c>
      <c r="S87">
        <f t="shared" si="17"/>
        <v>60</v>
      </c>
      <c r="T87" t="str">
        <f t="shared" si="18"/>
        <v>30-60 Days</v>
      </c>
      <c r="U87">
        <f t="shared" si="19"/>
        <v>108000</v>
      </c>
      <c r="V87">
        <f>tbl_inventory[[#This Row],[Units_Sold]]*tbl_inventory[[#This Row],[Revenue]]</f>
        <v>504000</v>
      </c>
    </row>
    <row r="88" spans="1:22" x14ac:dyDescent="0.25">
      <c r="A88" s="2" t="s">
        <v>13</v>
      </c>
      <c r="B88" t="s">
        <v>49</v>
      </c>
      <c r="C88" t="s">
        <v>44</v>
      </c>
      <c r="D88" t="s">
        <v>66</v>
      </c>
      <c r="E88" s="2">
        <v>45717</v>
      </c>
      <c r="F88" s="3">
        <v>49</v>
      </c>
      <c r="G88">
        <v>17</v>
      </c>
      <c r="H88">
        <v>32</v>
      </c>
      <c r="I88">
        <v>2000</v>
      </c>
      <c r="J88">
        <v>3500</v>
      </c>
      <c r="K88">
        <f t="shared" si="10"/>
        <v>59500</v>
      </c>
      <c r="L88">
        <f t="shared" si="11"/>
        <v>34000</v>
      </c>
      <c r="M88">
        <f t="shared" si="12"/>
        <v>25500</v>
      </c>
      <c r="N88" s="4">
        <f t="shared" si="13"/>
        <v>0.42857142857142855</v>
      </c>
      <c r="O88" t="str">
        <f t="shared" si="14"/>
        <v>Slow Moving</v>
      </c>
      <c r="P88" t="str">
        <f t="shared" si="15"/>
        <v/>
      </c>
      <c r="Q88" t="str">
        <f t="shared" si="16"/>
        <v/>
      </c>
      <c r="S88">
        <f t="shared" si="17"/>
        <v>40.5</v>
      </c>
      <c r="T88" t="str">
        <f t="shared" si="18"/>
        <v>0-30 Days</v>
      </c>
      <c r="U88">
        <f t="shared" si="19"/>
        <v>64000</v>
      </c>
      <c r="V88">
        <f>tbl_inventory[[#This Row],[Units_Sold]]*tbl_inventory[[#This Row],[Revenue]]</f>
        <v>1011500</v>
      </c>
    </row>
    <row r="89" spans="1:22" x14ac:dyDescent="0.25">
      <c r="A89" s="2" t="s">
        <v>13</v>
      </c>
      <c r="B89" t="s">
        <v>49</v>
      </c>
      <c r="C89" t="s">
        <v>44</v>
      </c>
      <c r="D89" t="s">
        <v>66</v>
      </c>
      <c r="E89" s="2">
        <v>45748</v>
      </c>
      <c r="F89" s="3">
        <v>23</v>
      </c>
      <c r="G89">
        <v>6</v>
      </c>
      <c r="H89">
        <v>17</v>
      </c>
      <c r="I89">
        <v>2000</v>
      </c>
      <c r="J89">
        <v>3500</v>
      </c>
      <c r="K89">
        <f t="shared" si="10"/>
        <v>21000</v>
      </c>
      <c r="L89">
        <f t="shared" si="11"/>
        <v>12000</v>
      </c>
      <c r="M89">
        <f t="shared" si="12"/>
        <v>9000</v>
      </c>
      <c r="N89" s="4">
        <f t="shared" si="13"/>
        <v>0.42857142857142855</v>
      </c>
      <c r="O89" t="str">
        <f t="shared" si="14"/>
        <v>Slow Moving</v>
      </c>
      <c r="P89" t="str">
        <f t="shared" si="15"/>
        <v/>
      </c>
      <c r="Q89" t="str">
        <f t="shared" si="16"/>
        <v/>
      </c>
      <c r="S89">
        <f t="shared" si="17"/>
        <v>20</v>
      </c>
      <c r="T89" t="str">
        <f t="shared" si="18"/>
        <v>0-30 Days</v>
      </c>
      <c r="U89">
        <f t="shared" si="19"/>
        <v>34000</v>
      </c>
      <c r="V89">
        <f>tbl_inventory[[#This Row],[Units_Sold]]*tbl_inventory[[#This Row],[Revenue]]</f>
        <v>126000</v>
      </c>
    </row>
    <row r="90" spans="1:22" x14ac:dyDescent="0.25">
      <c r="A90" s="2" t="s">
        <v>13</v>
      </c>
      <c r="B90" t="s">
        <v>49</v>
      </c>
      <c r="C90" t="s">
        <v>44</v>
      </c>
      <c r="D90" t="s">
        <v>66</v>
      </c>
      <c r="E90" s="2">
        <v>45778</v>
      </c>
      <c r="F90" s="3">
        <v>60</v>
      </c>
      <c r="G90">
        <v>21</v>
      </c>
      <c r="H90">
        <v>39</v>
      </c>
      <c r="I90">
        <v>2000</v>
      </c>
      <c r="J90">
        <v>3500</v>
      </c>
      <c r="K90">
        <f t="shared" si="10"/>
        <v>73500</v>
      </c>
      <c r="L90">
        <f t="shared" si="11"/>
        <v>42000</v>
      </c>
      <c r="M90">
        <f t="shared" si="12"/>
        <v>31500</v>
      </c>
      <c r="N90" s="4">
        <f t="shared" si="13"/>
        <v>0.42857142857142855</v>
      </c>
      <c r="O90" t="str">
        <f t="shared" si="14"/>
        <v>Normal</v>
      </c>
      <c r="P90" t="str">
        <f t="shared" si="15"/>
        <v/>
      </c>
      <c r="Q90" t="str">
        <f t="shared" si="16"/>
        <v/>
      </c>
      <c r="S90">
        <f t="shared" si="17"/>
        <v>49.5</v>
      </c>
      <c r="T90" t="str">
        <f t="shared" si="18"/>
        <v>0-30 Days</v>
      </c>
      <c r="U90">
        <f t="shared" si="19"/>
        <v>78000</v>
      </c>
      <c r="V90">
        <f>tbl_inventory[[#This Row],[Units_Sold]]*tbl_inventory[[#This Row],[Revenue]]</f>
        <v>1543500</v>
      </c>
    </row>
    <row r="91" spans="1:22" x14ac:dyDescent="0.25">
      <c r="A91" s="2" t="s">
        <v>13</v>
      </c>
      <c r="B91" t="s">
        <v>49</v>
      </c>
      <c r="C91" t="s">
        <v>44</v>
      </c>
      <c r="D91" t="s">
        <v>66</v>
      </c>
      <c r="E91" s="2">
        <v>45809</v>
      </c>
      <c r="F91" s="3">
        <v>95</v>
      </c>
      <c r="G91">
        <v>27</v>
      </c>
      <c r="H91">
        <v>68</v>
      </c>
      <c r="I91">
        <v>2000</v>
      </c>
      <c r="J91">
        <v>3500</v>
      </c>
      <c r="K91">
        <f t="shared" si="10"/>
        <v>94500</v>
      </c>
      <c r="L91">
        <f t="shared" si="11"/>
        <v>54000</v>
      </c>
      <c r="M91">
        <f t="shared" si="12"/>
        <v>40500</v>
      </c>
      <c r="N91" s="4">
        <f t="shared" si="13"/>
        <v>0.42857142857142855</v>
      </c>
      <c r="O91" t="str">
        <f t="shared" si="14"/>
        <v>Normal</v>
      </c>
      <c r="P91" t="str">
        <f t="shared" si="15"/>
        <v/>
      </c>
      <c r="Q91" t="str">
        <f t="shared" si="16"/>
        <v/>
      </c>
      <c r="S91">
        <f t="shared" si="17"/>
        <v>81.5</v>
      </c>
      <c r="T91" t="str">
        <f t="shared" si="18"/>
        <v>30-60 Days</v>
      </c>
      <c r="U91">
        <f t="shared" si="19"/>
        <v>136000</v>
      </c>
      <c r="V91">
        <f>tbl_inventory[[#This Row],[Units_Sold]]*tbl_inventory[[#This Row],[Revenue]]</f>
        <v>2551500</v>
      </c>
    </row>
    <row r="92" spans="1:22" x14ac:dyDescent="0.25">
      <c r="A92" s="2" t="s">
        <v>13</v>
      </c>
      <c r="B92" t="s">
        <v>49</v>
      </c>
      <c r="C92" t="s">
        <v>44</v>
      </c>
      <c r="D92" t="s">
        <v>67</v>
      </c>
      <c r="E92" s="2">
        <v>45658</v>
      </c>
      <c r="F92" s="3">
        <v>50</v>
      </c>
      <c r="G92">
        <v>28</v>
      </c>
      <c r="H92">
        <v>22</v>
      </c>
      <c r="I92">
        <v>2000</v>
      </c>
      <c r="J92">
        <v>3500</v>
      </c>
      <c r="K92">
        <f t="shared" si="10"/>
        <v>98000</v>
      </c>
      <c r="L92">
        <f t="shared" si="11"/>
        <v>56000</v>
      </c>
      <c r="M92">
        <f t="shared" si="12"/>
        <v>42000</v>
      </c>
      <c r="N92" s="4">
        <f t="shared" si="13"/>
        <v>0.42857142857142855</v>
      </c>
      <c r="O92" t="str">
        <f t="shared" si="14"/>
        <v>Normal</v>
      </c>
      <c r="P92" t="str">
        <f t="shared" si="15"/>
        <v/>
      </c>
      <c r="Q92" t="str">
        <f t="shared" si="16"/>
        <v/>
      </c>
      <c r="S92">
        <f t="shared" si="17"/>
        <v>36</v>
      </c>
      <c r="T92" t="str">
        <f t="shared" si="18"/>
        <v>0-30 Days</v>
      </c>
      <c r="U92">
        <f t="shared" si="19"/>
        <v>44000</v>
      </c>
      <c r="V92">
        <f>tbl_inventory[[#This Row],[Units_Sold]]*tbl_inventory[[#This Row],[Revenue]]</f>
        <v>2744000</v>
      </c>
    </row>
    <row r="93" spans="1:22" x14ac:dyDescent="0.25">
      <c r="A93" s="2" t="s">
        <v>13</v>
      </c>
      <c r="B93" t="s">
        <v>49</v>
      </c>
      <c r="C93" t="s">
        <v>44</v>
      </c>
      <c r="D93" t="s">
        <v>67</v>
      </c>
      <c r="E93" s="2">
        <v>45689</v>
      </c>
      <c r="F93" s="3">
        <v>20</v>
      </c>
      <c r="G93">
        <v>12</v>
      </c>
      <c r="H93">
        <v>8</v>
      </c>
      <c r="I93">
        <v>2000</v>
      </c>
      <c r="J93">
        <v>3500</v>
      </c>
      <c r="K93">
        <f t="shared" si="10"/>
        <v>42000</v>
      </c>
      <c r="L93">
        <f t="shared" si="11"/>
        <v>24000</v>
      </c>
      <c r="M93">
        <f t="shared" si="12"/>
        <v>18000</v>
      </c>
      <c r="N93" s="4">
        <f t="shared" si="13"/>
        <v>0.42857142857142855</v>
      </c>
      <c r="O93" t="str">
        <f t="shared" si="14"/>
        <v>Slow Moving</v>
      </c>
      <c r="P93" t="str">
        <f t="shared" si="15"/>
        <v/>
      </c>
      <c r="Q93" t="str">
        <f t="shared" si="16"/>
        <v/>
      </c>
      <c r="S93">
        <f t="shared" si="17"/>
        <v>14</v>
      </c>
      <c r="T93" t="str">
        <f t="shared" si="18"/>
        <v>0-30 Days</v>
      </c>
      <c r="U93">
        <f t="shared" si="19"/>
        <v>16000</v>
      </c>
      <c r="V93">
        <f>tbl_inventory[[#This Row],[Units_Sold]]*tbl_inventory[[#This Row],[Revenue]]</f>
        <v>504000</v>
      </c>
    </row>
    <row r="94" spans="1:22" x14ac:dyDescent="0.25">
      <c r="A94" s="2" t="s">
        <v>13</v>
      </c>
      <c r="B94" t="s">
        <v>49</v>
      </c>
      <c r="C94" t="s">
        <v>44</v>
      </c>
      <c r="D94" t="s">
        <v>67</v>
      </c>
      <c r="E94" s="2">
        <v>45717</v>
      </c>
      <c r="F94" s="3">
        <v>77</v>
      </c>
      <c r="G94">
        <v>67</v>
      </c>
      <c r="H94">
        <v>10</v>
      </c>
      <c r="I94">
        <v>2000</v>
      </c>
      <c r="J94">
        <v>3500</v>
      </c>
      <c r="K94">
        <f t="shared" si="10"/>
        <v>234500</v>
      </c>
      <c r="L94">
        <f t="shared" si="11"/>
        <v>134000</v>
      </c>
      <c r="M94">
        <f t="shared" si="12"/>
        <v>100500</v>
      </c>
      <c r="N94" s="4">
        <f t="shared" si="13"/>
        <v>0.42857142857142855</v>
      </c>
      <c r="O94" t="str">
        <f t="shared" si="14"/>
        <v>Normal</v>
      </c>
      <c r="P94" t="str">
        <f t="shared" si="15"/>
        <v/>
      </c>
      <c r="Q94" t="str">
        <f t="shared" si="16"/>
        <v/>
      </c>
      <c r="S94">
        <f t="shared" si="17"/>
        <v>43.5</v>
      </c>
      <c r="T94" t="str">
        <f t="shared" si="18"/>
        <v>0-30 Days</v>
      </c>
      <c r="U94">
        <f t="shared" si="19"/>
        <v>20000</v>
      </c>
      <c r="V94">
        <f>tbl_inventory[[#This Row],[Units_Sold]]*tbl_inventory[[#This Row],[Revenue]]</f>
        <v>15711500</v>
      </c>
    </row>
    <row r="95" spans="1:22" x14ac:dyDescent="0.25">
      <c r="A95" s="2" t="s">
        <v>13</v>
      </c>
      <c r="B95" t="s">
        <v>49</v>
      </c>
      <c r="C95" t="s">
        <v>44</v>
      </c>
      <c r="D95" t="s">
        <v>67</v>
      </c>
      <c r="E95" s="2">
        <v>45748</v>
      </c>
      <c r="F95" s="3">
        <v>57</v>
      </c>
      <c r="G95">
        <v>20</v>
      </c>
      <c r="H95">
        <v>37</v>
      </c>
      <c r="I95">
        <v>2000</v>
      </c>
      <c r="J95">
        <v>3500</v>
      </c>
      <c r="K95">
        <f t="shared" si="10"/>
        <v>70000</v>
      </c>
      <c r="L95">
        <f t="shared" si="11"/>
        <v>40000</v>
      </c>
      <c r="M95">
        <f t="shared" si="12"/>
        <v>30000</v>
      </c>
      <c r="N95" s="4">
        <f t="shared" si="13"/>
        <v>0.42857142857142855</v>
      </c>
      <c r="O95" t="str">
        <f t="shared" si="14"/>
        <v>Normal</v>
      </c>
      <c r="P95" t="str">
        <f t="shared" si="15"/>
        <v/>
      </c>
      <c r="Q95" t="str">
        <f t="shared" si="16"/>
        <v/>
      </c>
      <c r="S95">
        <f t="shared" si="17"/>
        <v>47</v>
      </c>
      <c r="T95" t="str">
        <f t="shared" si="18"/>
        <v>0-30 Days</v>
      </c>
      <c r="U95">
        <f t="shared" si="19"/>
        <v>74000</v>
      </c>
      <c r="V95">
        <f>tbl_inventory[[#This Row],[Units_Sold]]*tbl_inventory[[#This Row],[Revenue]]</f>
        <v>1400000</v>
      </c>
    </row>
    <row r="96" spans="1:22" x14ac:dyDescent="0.25">
      <c r="A96" s="2" t="s">
        <v>13</v>
      </c>
      <c r="B96" t="s">
        <v>49</v>
      </c>
      <c r="C96" t="s">
        <v>44</v>
      </c>
      <c r="D96" t="s">
        <v>67</v>
      </c>
      <c r="E96" s="2">
        <v>45778</v>
      </c>
      <c r="F96" s="3">
        <v>66</v>
      </c>
      <c r="G96">
        <v>22</v>
      </c>
      <c r="H96">
        <v>44</v>
      </c>
      <c r="I96">
        <v>2000</v>
      </c>
      <c r="J96">
        <v>3500</v>
      </c>
      <c r="K96">
        <f t="shared" si="10"/>
        <v>77000</v>
      </c>
      <c r="L96">
        <f t="shared" si="11"/>
        <v>44000</v>
      </c>
      <c r="M96">
        <f t="shared" si="12"/>
        <v>33000</v>
      </c>
      <c r="N96" s="4">
        <f t="shared" si="13"/>
        <v>0.42857142857142855</v>
      </c>
      <c r="O96" t="str">
        <f t="shared" si="14"/>
        <v>Normal</v>
      </c>
      <c r="P96" t="str">
        <f t="shared" si="15"/>
        <v/>
      </c>
      <c r="Q96" t="str">
        <f t="shared" si="16"/>
        <v/>
      </c>
      <c r="S96">
        <f t="shared" si="17"/>
        <v>55</v>
      </c>
      <c r="T96" t="str">
        <f t="shared" si="18"/>
        <v>0-30 Days</v>
      </c>
      <c r="U96">
        <f t="shared" si="19"/>
        <v>88000</v>
      </c>
      <c r="V96">
        <f>tbl_inventory[[#This Row],[Units_Sold]]*tbl_inventory[[#This Row],[Revenue]]</f>
        <v>1694000</v>
      </c>
    </row>
    <row r="97" spans="1:22" x14ac:dyDescent="0.25">
      <c r="A97" s="2" t="s">
        <v>13</v>
      </c>
      <c r="B97" t="s">
        <v>49</v>
      </c>
      <c r="C97" t="s">
        <v>44</v>
      </c>
      <c r="D97" t="s">
        <v>67</v>
      </c>
      <c r="E97" s="2">
        <v>45809</v>
      </c>
      <c r="F97" s="3">
        <v>20</v>
      </c>
      <c r="G97">
        <v>14</v>
      </c>
      <c r="H97">
        <v>6</v>
      </c>
      <c r="I97">
        <v>2000</v>
      </c>
      <c r="J97">
        <v>3500</v>
      </c>
      <c r="K97">
        <f t="shared" si="10"/>
        <v>49000</v>
      </c>
      <c r="L97">
        <f t="shared" si="11"/>
        <v>28000</v>
      </c>
      <c r="M97">
        <f t="shared" si="12"/>
        <v>21000</v>
      </c>
      <c r="N97" s="4">
        <f t="shared" si="13"/>
        <v>0.42857142857142855</v>
      </c>
      <c r="O97" t="str">
        <f t="shared" si="14"/>
        <v>Slow Moving</v>
      </c>
      <c r="P97" t="str">
        <f t="shared" si="15"/>
        <v/>
      </c>
      <c r="Q97" t="str">
        <f t="shared" si="16"/>
        <v/>
      </c>
      <c r="S97">
        <f t="shared" si="17"/>
        <v>13</v>
      </c>
      <c r="T97" t="str">
        <f t="shared" si="18"/>
        <v>0-30 Days</v>
      </c>
      <c r="U97">
        <f t="shared" si="19"/>
        <v>12000</v>
      </c>
      <c r="V97">
        <f>tbl_inventory[[#This Row],[Units_Sold]]*tbl_inventory[[#This Row],[Revenue]]</f>
        <v>686000</v>
      </c>
    </row>
    <row r="98" spans="1:22" x14ac:dyDescent="0.25">
      <c r="A98" s="2" t="s">
        <v>14</v>
      </c>
      <c r="B98" t="s">
        <v>50</v>
      </c>
      <c r="C98" t="s">
        <v>45</v>
      </c>
      <c r="D98" t="s">
        <v>64</v>
      </c>
      <c r="E98" s="2">
        <v>45658</v>
      </c>
      <c r="F98" s="3">
        <v>25</v>
      </c>
      <c r="G98">
        <v>24</v>
      </c>
      <c r="H98">
        <v>1</v>
      </c>
      <c r="I98">
        <v>15000</v>
      </c>
      <c r="J98">
        <v>22000</v>
      </c>
      <c r="K98">
        <f t="shared" si="10"/>
        <v>528000</v>
      </c>
      <c r="L98">
        <f t="shared" si="11"/>
        <v>360000</v>
      </c>
      <c r="M98">
        <f t="shared" si="12"/>
        <v>168000</v>
      </c>
      <c r="N98" s="4">
        <f t="shared" si="13"/>
        <v>0.31818181818181818</v>
      </c>
      <c r="O98" t="str">
        <f t="shared" si="14"/>
        <v>Normal</v>
      </c>
      <c r="P98" t="str">
        <f t="shared" si="15"/>
        <v/>
      </c>
      <c r="Q98" t="str">
        <f t="shared" si="16"/>
        <v/>
      </c>
      <c r="S98">
        <f t="shared" si="17"/>
        <v>13</v>
      </c>
      <c r="T98" t="str">
        <f t="shared" si="18"/>
        <v>0-30 Days</v>
      </c>
      <c r="U98">
        <f t="shared" si="19"/>
        <v>15000</v>
      </c>
      <c r="V98">
        <f>tbl_inventory[[#This Row],[Units_Sold]]*tbl_inventory[[#This Row],[Revenue]]</f>
        <v>12672000</v>
      </c>
    </row>
    <row r="99" spans="1:22" x14ac:dyDescent="0.25">
      <c r="A99" s="2" t="s">
        <v>14</v>
      </c>
      <c r="B99" t="s">
        <v>50</v>
      </c>
      <c r="C99" t="s">
        <v>45</v>
      </c>
      <c r="D99" t="s">
        <v>64</v>
      </c>
      <c r="E99" s="2">
        <v>45689</v>
      </c>
      <c r="F99" s="3">
        <v>15</v>
      </c>
      <c r="G99">
        <v>7</v>
      </c>
      <c r="H99">
        <v>8</v>
      </c>
      <c r="I99">
        <v>15000</v>
      </c>
      <c r="J99">
        <v>22000</v>
      </c>
      <c r="K99">
        <f t="shared" si="10"/>
        <v>154000</v>
      </c>
      <c r="L99">
        <f t="shared" si="11"/>
        <v>105000</v>
      </c>
      <c r="M99">
        <f t="shared" si="12"/>
        <v>49000</v>
      </c>
      <c r="N99" s="4">
        <f t="shared" si="13"/>
        <v>0.31818181818181818</v>
      </c>
      <c r="O99" t="str">
        <f t="shared" si="14"/>
        <v>Slow Moving</v>
      </c>
      <c r="P99" t="str">
        <f t="shared" si="15"/>
        <v/>
      </c>
      <c r="Q99" t="str">
        <f t="shared" si="16"/>
        <v/>
      </c>
      <c r="S99">
        <f t="shared" si="17"/>
        <v>11.5</v>
      </c>
      <c r="T99" t="str">
        <f t="shared" si="18"/>
        <v>0-30 Days</v>
      </c>
      <c r="U99">
        <f t="shared" si="19"/>
        <v>120000</v>
      </c>
      <c r="V99">
        <f>tbl_inventory[[#This Row],[Units_Sold]]*tbl_inventory[[#This Row],[Revenue]]</f>
        <v>1078000</v>
      </c>
    </row>
    <row r="100" spans="1:22" x14ac:dyDescent="0.25">
      <c r="A100" s="2" t="s">
        <v>14</v>
      </c>
      <c r="B100" t="s">
        <v>50</v>
      </c>
      <c r="C100" t="s">
        <v>45</v>
      </c>
      <c r="D100" t="s">
        <v>64</v>
      </c>
      <c r="E100" s="2">
        <v>45717</v>
      </c>
      <c r="F100" s="3">
        <v>55</v>
      </c>
      <c r="G100">
        <v>45</v>
      </c>
      <c r="H100">
        <v>10</v>
      </c>
      <c r="I100">
        <v>15000</v>
      </c>
      <c r="J100">
        <v>22000</v>
      </c>
      <c r="K100">
        <f t="shared" si="10"/>
        <v>990000</v>
      </c>
      <c r="L100">
        <f t="shared" si="11"/>
        <v>675000</v>
      </c>
      <c r="M100">
        <f t="shared" si="12"/>
        <v>315000</v>
      </c>
      <c r="N100" s="4">
        <f t="shared" si="13"/>
        <v>0.31818181818181818</v>
      </c>
      <c r="O100" t="str">
        <f t="shared" si="14"/>
        <v>Normal</v>
      </c>
      <c r="P100" t="str">
        <f t="shared" si="15"/>
        <v/>
      </c>
      <c r="Q100" t="str">
        <f t="shared" si="16"/>
        <v/>
      </c>
      <c r="S100">
        <f t="shared" si="17"/>
        <v>32.5</v>
      </c>
      <c r="T100" t="str">
        <f t="shared" si="18"/>
        <v>0-30 Days</v>
      </c>
      <c r="U100">
        <f t="shared" si="19"/>
        <v>150000</v>
      </c>
      <c r="V100">
        <f>tbl_inventory[[#This Row],[Units_Sold]]*tbl_inventory[[#This Row],[Revenue]]</f>
        <v>44550000</v>
      </c>
    </row>
    <row r="101" spans="1:22" x14ac:dyDescent="0.25">
      <c r="A101" s="2" t="s">
        <v>14</v>
      </c>
      <c r="B101" t="s">
        <v>50</v>
      </c>
      <c r="C101" t="s">
        <v>45</v>
      </c>
      <c r="D101" t="s">
        <v>64</v>
      </c>
      <c r="E101" s="2">
        <v>45748</v>
      </c>
      <c r="F101" s="3">
        <v>39</v>
      </c>
      <c r="G101">
        <v>15</v>
      </c>
      <c r="H101">
        <v>24</v>
      </c>
      <c r="I101">
        <v>15000</v>
      </c>
      <c r="J101">
        <v>22000</v>
      </c>
      <c r="K101">
        <f t="shared" si="10"/>
        <v>330000</v>
      </c>
      <c r="L101">
        <f t="shared" si="11"/>
        <v>225000</v>
      </c>
      <c r="M101">
        <f t="shared" si="12"/>
        <v>105000</v>
      </c>
      <c r="N101" s="4">
        <f t="shared" si="13"/>
        <v>0.31818181818181818</v>
      </c>
      <c r="O101" t="str">
        <f t="shared" si="14"/>
        <v>Slow Moving</v>
      </c>
      <c r="P101" t="str">
        <f t="shared" si="15"/>
        <v/>
      </c>
      <c r="Q101" t="str">
        <f t="shared" si="16"/>
        <v/>
      </c>
      <c r="S101">
        <f t="shared" si="17"/>
        <v>31.5</v>
      </c>
      <c r="T101" t="str">
        <f t="shared" si="18"/>
        <v>0-30 Days</v>
      </c>
      <c r="U101">
        <f t="shared" si="19"/>
        <v>360000</v>
      </c>
      <c r="V101">
        <f>tbl_inventory[[#This Row],[Units_Sold]]*tbl_inventory[[#This Row],[Revenue]]</f>
        <v>4950000</v>
      </c>
    </row>
    <row r="102" spans="1:22" x14ac:dyDescent="0.25">
      <c r="A102" s="2" t="s">
        <v>14</v>
      </c>
      <c r="B102" t="s">
        <v>50</v>
      </c>
      <c r="C102" t="s">
        <v>45</v>
      </c>
      <c r="D102" t="s">
        <v>64</v>
      </c>
      <c r="E102" s="2">
        <v>45778</v>
      </c>
      <c r="F102" s="3">
        <v>42</v>
      </c>
      <c r="G102">
        <v>31</v>
      </c>
      <c r="H102">
        <v>11</v>
      </c>
      <c r="I102">
        <v>15000</v>
      </c>
      <c r="J102">
        <v>22000</v>
      </c>
      <c r="K102">
        <f t="shared" si="10"/>
        <v>682000</v>
      </c>
      <c r="L102">
        <f t="shared" si="11"/>
        <v>465000</v>
      </c>
      <c r="M102">
        <f t="shared" si="12"/>
        <v>217000</v>
      </c>
      <c r="N102" s="4">
        <f t="shared" si="13"/>
        <v>0.31818181818181818</v>
      </c>
      <c r="O102" t="str">
        <f t="shared" si="14"/>
        <v>Normal</v>
      </c>
      <c r="P102" t="str">
        <f t="shared" si="15"/>
        <v/>
      </c>
      <c r="Q102" t="str">
        <f t="shared" si="16"/>
        <v/>
      </c>
      <c r="S102">
        <f t="shared" si="17"/>
        <v>26.5</v>
      </c>
      <c r="T102" t="str">
        <f t="shared" si="18"/>
        <v>0-30 Days</v>
      </c>
      <c r="U102">
        <f t="shared" si="19"/>
        <v>165000</v>
      </c>
      <c r="V102">
        <f>tbl_inventory[[#This Row],[Units_Sold]]*tbl_inventory[[#This Row],[Revenue]]</f>
        <v>21142000</v>
      </c>
    </row>
    <row r="103" spans="1:22" x14ac:dyDescent="0.25">
      <c r="A103" s="2" t="s">
        <v>14</v>
      </c>
      <c r="B103" t="s">
        <v>50</v>
      </c>
      <c r="C103" t="s">
        <v>45</v>
      </c>
      <c r="D103" t="s">
        <v>64</v>
      </c>
      <c r="E103" s="2">
        <v>45809</v>
      </c>
      <c r="F103" s="3">
        <v>11</v>
      </c>
      <c r="G103">
        <v>8</v>
      </c>
      <c r="H103">
        <v>3</v>
      </c>
      <c r="I103">
        <v>15000</v>
      </c>
      <c r="J103">
        <v>22000</v>
      </c>
      <c r="K103">
        <f t="shared" si="10"/>
        <v>176000</v>
      </c>
      <c r="L103">
        <f t="shared" si="11"/>
        <v>120000</v>
      </c>
      <c r="M103">
        <f t="shared" si="12"/>
        <v>56000</v>
      </c>
      <c r="N103" s="4">
        <f t="shared" si="13"/>
        <v>0.31818181818181818</v>
      </c>
      <c r="O103" t="str">
        <f t="shared" si="14"/>
        <v>Slow Moving</v>
      </c>
      <c r="P103" t="str">
        <f t="shared" si="15"/>
        <v/>
      </c>
      <c r="Q103" t="str">
        <f t="shared" si="16"/>
        <v/>
      </c>
      <c r="S103">
        <f t="shared" si="17"/>
        <v>7</v>
      </c>
      <c r="T103" t="str">
        <f t="shared" si="18"/>
        <v>0-30 Days</v>
      </c>
      <c r="U103">
        <f t="shared" si="19"/>
        <v>45000</v>
      </c>
      <c r="V103">
        <f>tbl_inventory[[#This Row],[Units_Sold]]*tbl_inventory[[#This Row],[Revenue]]</f>
        <v>1408000</v>
      </c>
    </row>
    <row r="104" spans="1:22" x14ac:dyDescent="0.25">
      <c r="A104" s="2" t="s">
        <v>14</v>
      </c>
      <c r="B104" t="s">
        <v>50</v>
      </c>
      <c r="C104" t="s">
        <v>45</v>
      </c>
      <c r="D104" t="s">
        <v>65</v>
      </c>
      <c r="E104" s="2">
        <v>45658</v>
      </c>
      <c r="F104" s="3">
        <v>26</v>
      </c>
      <c r="G104">
        <v>23</v>
      </c>
      <c r="H104">
        <v>3</v>
      </c>
      <c r="I104">
        <v>15000</v>
      </c>
      <c r="J104">
        <v>22000</v>
      </c>
      <c r="K104">
        <f t="shared" si="10"/>
        <v>506000</v>
      </c>
      <c r="L104">
        <f t="shared" si="11"/>
        <v>345000</v>
      </c>
      <c r="M104">
        <f t="shared" si="12"/>
        <v>161000</v>
      </c>
      <c r="N104" s="4">
        <f t="shared" si="13"/>
        <v>0.31818181818181818</v>
      </c>
      <c r="O104" t="str">
        <f t="shared" si="14"/>
        <v>Normal</v>
      </c>
      <c r="P104" t="str">
        <f t="shared" si="15"/>
        <v/>
      </c>
      <c r="Q104" t="str">
        <f t="shared" si="16"/>
        <v/>
      </c>
      <c r="S104">
        <f t="shared" si="17"/>
        <v>14.5</v>
      </c>
      <c r="T104" t="str">
        <f t="shared" si="18"/>
        <v>0-30 Days</v>
      </c>
      <c r="U104">
        <f t="shared" si="19"/>
        <v>45000</v>
      </c>
      <c r="V104">
        <f>tbl_inventory[[#This Row],[Units_Sold]]*tbl_inventory[[#This Row],[Revenue]]</f>
        <v>11638000</v>
      </c>
    </row>
    <row r="105" spans="1:22" x14ac:dyDescent="0.25">
      <c r="A105" s="2" t="s">
        <v>14</v>
      </c>
      <c r="B105" t="s">
        <v>50</v>
      </c>
      <c r="C105" t="s">
        <v>45</v>
      </c>
      <c r="D105" t="s">
        <v>65</v>
      </c>
      <c r="E105" s="2">
        <v>45689</v>
      </c>
      <c r="F105" s="3">
        <v>41</v>
      </c>
      <c r="G105">
        <v>6</v>
      </c>
      <c r="H105">
        <v>35</v>
      </c>
      <c r="I105">
        <v>15000</v>
      </c>
      <c r="J105">
        <v>22000</v>
      </c>
      <c r="K105">
        <f t="shared" si="10"/>
        <v>132000</v>
      </c>
      <c r="L105">
        <f t="shared" si="11"/>
        <v>90000</v>
      </c>
      <c r="M105">
        <f t="shared" si="12"/>
        <v>42000</v>
      </c>
      <c r="N105" s="4">
        <f t="shared" si="13"/>
        <v>0.31818181818181818</v>
      </c>
      <c r="O105" t="str">
        <f t="shared" si="14"/>
        <v>Slow Moving</v>
      </c>
      <c r="P105" t="str">
        <f t="shared" si="15"/>
        <v/>
      </c>
      <c r="Q105" t="str">
        <f t="shared" si="16"/>
        <v/>
      </c>
      <c r="S105">
        <f t="shared" si="17"/>
        <v>38</v>
      </c>
      <c r="T105" t="str">
        <f t="shared" si="18"/>
        <v>0-30 Days</v>
      </c>
      <c r="U105">
        <f t="shared" si="19"/>
        <v>525000</v>
      </c>
      <c r="V105">
        <f>tbl_inventory[[#This Row],[Units_Sold]]*tbl_inventory[[#This Row],[Revenue]]</f>
        <v>792000</v>
      </c>
    </row>
    <row r="106" spans="1:22" x14ac:dyDescent="0.25">
      <c r="A106" s="2" t="s">
        <v>14</v>
      </c>
      <c r="B106" t="s">
        <v>50</v>
      </c>
      <c r="C106" t="s">
        <v>45</v>
      </c>
      <c r="D106" t="s">
        <v>65</v>
      </c>
      <c r="E106" s="2">
        <v>45717</v>
      </c>
      <c r="F106" s="3">
        <v>39</v>
      </c>
      <c r="G106">
        <v>14</v>
      </c>
      <c r="H106">
        <v>25</v>
      </c>
      <c r="I106">
        <v>15000</v>
      </c>
      <c r="J106">
        <v>22000</v>
      </c>
      <c r="K106">
        <f t="shared" si="10"/>
        <v>308000</v>
      </c>
      <c r="L106">
        <f t="shared" si="11"/>
        <v>210000</v>
      </c>
      <c r="M106">
        <f t="shared" si="12"/>
        <v>98000</v>
      </c>
      <c r="N106" s="4">
        <f t="shared" si="13"/>
        <v>0.31818181818181818</v>
      </c>
      <c r="O106" t="str">
        <f t="shared" si="14"/>
        <v>Slow Moving</v>
      </c>
      <c r="P106" t="str">
        <f t="shared" si="15"/>
        <v/>
      </c>
      <c r="Q106" t="str">
        <f t="shared" si="16"/>
        <v/>
      </c>
      <c r="S106">
        <f t="shared" si="17"/>
        <v>32</v>
      </c>
      <c r="T106" t="str">
        <f t="shared" si="18"/>
        <v>0-30 Days</v>
      </c>
      <c r="U106">
        <f t="shared" si="19"/>
        <v>375000</v>
      </c>
      <c r="V106">
        <f>tbl_inventory[[#This Row],[Units_Sold]]*tbl_inventory[[#This Row],[Revenue]]</f>
        <v>4312000</v>
      </c>
    </row>
    <row r="107" spans="1:22" x14ac:dyDescent="0.25">
      <c r="A107" s="2" t="s">
        <v>14</v>
      </c>
      <c r="B107" t="s">
        <v>50</v>
      </c>
      <c r="C107" t="s">
        <v>45</v>
      </c>
      <c r="D107" t="s">
        <v>65</v>
      </c>
      <c r="E107" s="2">
        <v>45748</v>
      </c>
      <c r="F107" s="3">
        <v>35</v>
      </c>
      <c r="G107">
        <v>27</v>
      </c>
      <c r="H107">
        <v>8</v>
      </c>
      <c r="I107">
        <v>15000</v>
      </c>
      <c r="J107">
        <v>22000</v>
      </c>
      <c r="K107">
        <f t="shared" si="10"/>
        <v>594000</v>
      </c>
      <c r="L107">
        <f t="shared" si="11"/>
        <v>405000</v>
      </c>
      <c r="M107">
        <f t="shared" si="12"/>
        <v>189000</v>
      </c>
      <c r="N107" s="4">
        <f t="shared" si="13"/>
        <v>0.31818181818181818</v>
      </c>
      <c r="O107" t="str">
        <f t="shared" si="14"/>
        <v>Normal</v>
      </c>
      <c r="P107" t="str">
        <f t="shared" si="15"/>
        <v/>
      </c>
      <c r="Q107" t="str">
        <f t="shared" si="16"/>
        <v/>
      </c>
      <c r="S107">
        <f t="shared" si="17"/>
        <v>21.5</v>
      </c>
      <c r="T107" t="str">
        <f t="shared" si="18"/>
        <v>0-30 Days</v>
      </c>
      <c r="U107">
        <f t="shared" si="19"/>
        <v>120000</v>
      </c>
      <c r="V107">
        <f>tbl_inventory[[#This Row],[Units_Sold]]*tbl_inventory[[#This Row],[Revenue]]</f>
        <v>16038000</v>
      </c>
    </row>
    <row r="108" spans="1:22" x14ac:dyDescent="0.25">
      <c r="A108" s="2" t="s">
        <v>14</v>
      </c>
      <c r="B108" t="s">
        <v>50</v>
      </c>
      <c r="C108" t="s">
        <v>45</v>
      </c>
      <c r="D108" t="s">
        <v>65</v>
      </c>
      <c r="E108" s="2">
        <v>45778</v>
      </c>
      <c r="F108" s="3">
        <v>22</v>
      </c>
      <c r="G108">
        <v>19</v>
      </c>
      <c r="H108">
        <v>3</v>
      </c>
      <c r="I108">
        <v>15000</v>
      </c>
      <c r="J108">
        <v>22000</v>
      </c>
      <c r="K108">
        <f t="shared" si="10"/>
        <v>418000</v>
      </c>
      <c r="L108">
        <f t="shared" si="11"/>
        <v>285000</v>
      </c>
      <c r="M108">
        <f t="shared" si="12"/>
        <v>133000</v>
      </c>
      <c r="N108" s="4">
        <f t="shared" si="13"/>
        <v>0.31818181818181818</v>
      </c>
      <c r="O108" t="str">
        <f t="shared" si="14"/>
        <v>Slow Moving</v>
      </c>
      <c r="P108" t="str">
        <f t="shared" si="15"/>
        <v/>
      </c>
      <c r="Q108" t="str">
        <f t="shared" si="16"/>
        <v/>
      </c>
      <c r="S108">
        <f t="shared" si="17"/>
        <v>12.5</v>
      </c>
      <c r="T108" t="str">
        <f t="shared" si="18"/>
        <v>0-30 Days</v>
      </c>
      <c r="U108">
        <f t="shared" si="19"/>
        <v>45000</v>
      </c>
      <c r="V108">
        <f>tbl_inventory[[#This Row],[Units_Sold]]*tbl_inventory[[#This Row],[Revenue]]</f>
        <v>7942000</v>
      </c>
    </row>
    <row r="109" spans="1:22" x14ac:dyDescent="0.25">
      <c r="A109" s="2" t="s">
        <v>14</v>
      </c>
      <c r="B109" t="s">
        <v>50</v>
      </c>
      <c r="C109" t="s">
        <v>45</v>
      </c>
      <c r="D109" t="s">
        <v>65</v>
      </c>
      <c r="E109" s="2">
        <v>45809</v>
      </c>
      <c r="F109" s="3">
        <v>25</v>
      </c>
      <c r="G109">
        <v>21</v>
      </c>
      <c r="H109">
        <v>4</v>
      </c>
      <c r="I109">
        <v>15000</v>
      </c>
      <c r="J109">
        <v>22000</v>
      </c>
      <c r="K109">
        <f t="shared" si="10"/>
        <v>462000</v>
      </c>
      <c r="L109">
        <f t="shared" si="11"/>
        <v>315000</v>
      </c>
      <c r="M109">
        <f t="shared" si="12"/>
        <v>147000</v>
      </c>
      <c r="N109" s="4">
        <f t="shared" si="13"/>
        <v>0.31818181818181818</v>
      </c>
      <c r="O109" t="str">
        <f t="shared" si="14"/>
        <v>Normal</v>
      </c>
      <c r="P109" t="str">
        <f t="shared" si="15"/>
        <v/>
      </c>
      <c r="Q109" t="str">
        <f t="shared" si="16"/>
        <v/>
      </c>
      <c r="S109">
        <f t="shared" si="17"/>
        <v>14.5</v>
      </c>
      <c r="T109" t="str">
        <f t="shared" si="18"/>
        <v>0-30 Days</v>
      </c>
      <c r="U109">
        <f t="shared" si="19"/>
        <v>60000</v>
      </c>
      <c r="V109">
        <f>tbl_inventory[[#This Row],[Units_Sold]]*tbl_inventory[[#This Row],[Revenue]]</f>
        <v>9702000</v>
      </c>
    </row>
    <row r="110" spans="1:22" x14ac:dyDescent="0.25">
      <c r="A110" s="2" t="s">
        <v>14</v>
      </c>
      <c r="B110" t="s">
        <v>50</v>
      </c>
      <c r="C110" t="s">
        <v>45</v>
      </c>
      <c r="D110" t="s">
        <v>66</v>
      </c>
      <c r="E110" s="2">
        <v>45658</v>
      </c>
      <c r="F110" s="3">
        <v>37</v>
      </c>
      <c r="G110">
        <v>31</v>
      </c>
      <c r="H110">
        <v>6</v>
      </c>
      <c r="I110">
        <v>15000</v>
      </c>
      <c r="J110">
        <v>22000</v>
      </c>
      <c r="K110">
        <f t="shared" si="10"/>
        <v>682000</v>
      </c>
      <c r="L110">
        <f t="shared" si="11"/>
        <v>465000</v>
      </c>
      <c r="M110">
        <f t="shared" si="12"/>
        <v>217000</v>
      </c>
      <c r="N110" s="4">
        <f t="shared" si="13"/>
        <v>0.31818181818181818</v>
      </c>
      <c r="O110" t="str">
        <f t="shared" si="14"/>
        <v>Normal</v>
      </c>
      <c r="P110" t="str">
        <f t="shared" si="15"/>
        <v/>
      </c>
      <c r="Q110" t="str">
        <f t="shared" si="16"/>
        <v/>
      </c>
      <c r="S110">
        <f t="shared" si="17"/>
        <v>21.5</v>
      </c>
      <c r="T110" t="str">
        <f t="shared" si="18"/>
        <v>0-30 Days</v>
      </c>
      <c r="U110">
        <f t="shared" si="19"/>
        <v>90000</v>
      </c>
      <c r="V110">
        <f>tbl_inventory[[#This Row],[Units_Sold]]*tbl_inventory[[#This Row],[Revenue]]</f>
        <v>21142000</v>
      </c>
    </row>
    <row r="111" spans="1:22" x14ac:dyDescent="0.25">
      <c r="A111" s="2" t="s">
        <v>14</v>
      </c>
      <c r="B111" t="s">
        <v>50</v>
      </c>
      <c r="C111" t="s">
        <v>45</v>
      </c>
      <c r="D111" t="s">
        <v>66</v>
      </c>
      <c r="E111" s="2">
        <v>45689</v>
      </c>
      <c r="F111" s="3">
        <v>15</v>
      </c>
      <c r="G111">
        <v>5</v>
      </c>
      <c r="H111">
        <v>10</v>
      </c>
      <c r="I111">
        <v>15000</v>
      </c>
      <c r="J111">
        <v>22000</v>
      </c>
      <c r="K111">
        <f t="shared" si="10"/>
        <v>110000</v>
      </c>
      <c r="L111">
        <f t="shared" si="11"/>
        <v>75000</v>
      </c>
      <c r="M111">
        <f t="shared" si="12"/>
        <v>35000</v>
      </c>
      <c r="N111" s="4">
        <f t="shared" si="13"/>
        <v>0.31818181818181818</v>
      </c>
      <c r="O111" t="str">
        <f t="shared" si="14"/>
        <v>Slow Moving</v>
      </c>
      <c r="P111" t="str">
        <f t="shared" si="15"/>
        <v/>
      </c>
      <c r="Q111" t="str">
        <f t="shared" si="16"/>
        <v/>
      </c>
      <c r="S111">
        <f t="shared" si="17"/>
        <v>12.5</v>
      </c>
      <c r="T111" t="str">
        <f t="shared" si="18"/>
        <v>0-30 Days</v>
      </c>
      <c r="U111">
        <f t="shared" si="19"/>
        <v>150000</v>
      </c>
      <c r="V111">
        <f>tbl_inventory[[#This Row],[Units_Sold]]*tbl_inventory[[#This Row],[Revenue]]</f>
        <v>550000</v>
      </c>
    </row>
    <row r="112" spans="1:22" x14ac:dyDescent="0.25">
      <c r="A112" s="2" t="s">
        <v>14</v>
      </c>
      <c r="B112" t="s">
        <v>50</v>
      </c>
      <c r="C112" t="s">
        <v>45</v>
      </c>
      <c r="D112" t="s">
        <v>66</v>
      </c>
      <c r="E112" s="2">
        <v>45717</v>
      </c>
      <c r="F112" s="3">
        <v>38</v>
      </c>
      <c r="G112">
        <v>2</v>
      </c>
      <c r="H112">
        <v>36</v>
      </c>
      <c r="I112">
        <v>15000</v>
      </c>
      <c r="J112">
        <v>22000</v>
      </c>
      <c r="K112">
        <f t="shared" si="10"/>
        <v>44000</v>
      </c>
      <c r="L112">
        <f t="shared" si="11"/>
        <v>30000</v>
      </c>
      <c r="M112">
        <f t="shared" si="12"/>
        <v>14000</v>
      </c>
      <c r="N112" s="4">
        <f t="shared" si="13"/>
        <v>0.31818181818181818</v>
      </c>
      <c r="O112" t="str">
        <f t="shared" si="14"/>
        <v>Slow Moving</v>
      </c>
      <c r="P112" t="str">
        <f t="shared" si="15"/>
        <v/>
      </c>
      <c r="Q112" t="str">
        <f t="shared" si="16"/>
        <v/>
      </c>
      <c r="S112">
        <f t="shared" si="17"/>
        <v>37</v>
      </c>
      <c r="T112" t="str">
        <f t="shared" si="18"/>
        <v>0-30 Days</v>
      </c>
      <c r="U112">
        <f t="shared" si="19"/>
        <v>540000</v>
      </c>
      <c r="V112">
        <f>tbl_inventory[[#This Row],[Units_Sold]]*tbl_inventory[[#This Row],[Revenue]]</f>
        <v>88000</v>
      </c>
    </row>
    <row r="113" spans="1:22" x14ac:dyDescent="0.25">
      <c r="A113" s="2" t="s">
        <v>14</v>
      </c>
      <c r="B113" t="s">
        <v>50</v>
      </c>
      <c r="C113" t="s">
        <v>45</v>
      </c>
      <c r="D113" t="s">
        <v>66</v>
      </c>
      <c r="E113" s="2">
        <v>45748</v>
      </c>
      <c r="F113" s="3">
        <v>39</v>
      </c>
      <c r="G113">
        <v>5</v>
      </c>
      <c r="H113">
        <v>34</v>
      </c>
      <c r="I113">
        <v>15000</v>
      </c>
      <c r="J113">
        <v>22000</v>
      </c>
      <c r="K113">
        <f t="shared" si="10"/>
        <v>110000</v>
      </c>
      <c r="L113">
        <f t="shared" si="11"/>
        <v>75000</v>
      </c>
      <c r="M113">
        <f t="shared" si="12"/>
        <v>35000</v>
      </c>
      <c r="N113" s="4">
        <f t="shared" si="13"/>
        <v>0.31818181818181818</v>
      </c>
      <c r="O113" t="str">
        <f t="shared" si="14"/>
        <v>Slow Moving</v>
      </c>
      <c r="P113" t="str">
        <f t="shared" si="15"/>
        <v/>
      </c>
      <c r="Q113" t="str">
        <f t="shared" si="16"/>
        <v/>
      </c>
      <c r="S113">
        <f t="shared" si="17"/>
        <v>36.5</v>
      </c>
      <c r="T113" t="str">
        <f t="shared" si="18"/>
        <v>0-30 Days</v>
      </c>
      <c r="U113">
        <f t="shared" si="19"/>
        <v>510000</v>
      </c>
      <c r="V113">
        <f>tbl_inventory[[#This Row],[Units_Sold]]*tbl_inventory[[#This Row],[Revenue]]</f>
        <v>550000</v>
      </c>
    </row>
    <row r="114" spans="1:22" x14ac:dyDescent="0.25">
      <c r="A114" s="2" t="s">
        <v>14</v>
      </c>
      <c r="B114" t="s">
        <v>50</v>
      </c>
      <c r="C114" t="s">
        <v>45</v>
      </c>
      <c r="D114" t="s">
        <v>66</v>
      </c>
      <c r="E114" s="2">
        <v>45778</v>
      </c>
      <c r="F114" s="3">
        <v>60</v>
      </c>
      <c r="G114">
        <v>0</v>
      </c>
      <c r="H114">
        <v>60</v>
      </c>
      <c r="I114">
        <v>15000</v>
      </c>
      <c r="J114">
        <v>22000</v>
      </c>
      <c r="K114">
        <f t="shared" si="10"/>
        <v>0</v>
      </c>
      <c r="L114">
        <f t="shared" si="11"/>
        <v>0</v>
      </c>
      <c r="M114">
        <f t="shared" si="12"/>
        <v>0</v>
      </c>
      <c r="N114" s="4">
        <f t="shared" si="13"/>
        <v>0</v>
      </c>
      <c r="O114" t="str">
        <f t="shared" si="14"/>
        <v>Slow Moving</v>
      </c>
      <c r="P114" t="str">
        <f t="shared" si="15"/>
        <v>Dead Stock</v>
      </c>
      <c r="Q114" t="str">
        <f t="shared" si="16"/>
        <v>Low Margin</v>
      </c>
      <c r="S114">
        <f t="shared" si="17"/>
        <v>60</v>
      </c>
      <c r="T114" t="str">
        <f t="shared" si="18"/>
        <v>30-60 Days</v>
      </c>
      <c r="U114">
        <f t="shared" si="19"/>
        <v>900000</v>
      </c>
      <c r="V114">
        <f>tbl_inventory[[#This Row],[Units_Sold]]*tbl_inventory[[#This Row],[Revenue]]</f>
        <v>0</v>
      </c>
    </row>
    <row r="115" spans="1:22" x14ac:dyDescent="0.25">
      <c r="A115" s="2" t="s">
        <v>14</v>
      </c>
      <c r="B115" t="s">
        <v>50</v>
      </c>
      <c r="C115" t="s">
        <v>45</v>
      </c>
      <c r="D115" t="s">
        <v>66</v>
      </c>
      <c r="E115" s="2">
        <v>45809</v>
      </c>
      <c r="F115" s="3">
        <v>36</v>
      </c>
      <c r="G115">
        <v>1</v>
      </c>
      <c r="H115">
        <v>35</v>
      </c>
      <c r="I115">
        <v>15000</v>
      </c>
      <c r="J115">
        <v>22000</v>
      </c>
      <c r="K115">
        <f t="shared" si="10"/>
        <v>22000</v>
      </c>
      <c r="L115">
        <f t="shared" si="11"/>
        <v>15000</v>
      </c>
      <c r="M115">
        <f t="shared" si="12"/>
        <v>7000</v>
      </c>
      <c r="N115" s="4">
        <f t="shared" si="13"/>
        <v>0.31818181818181818</v>
      </c>
      <c r="O115" t="str">
        <f t="shared" si="14"/>
        <v>Slow Moving</v>
      </c>
      <c r="P115" t="str">
        <f t="shared" si="15"/>
        <v/>
      </c>
      <c r="Q115" t="str">
        <f t="shared" si="16"/>
        <v/>
      </c>
      <c r="S115">
        <f t="shared" si="17"/>
        <v>35.5</v>
      </c>
      <c r="T115" t="str">
        <f t="shared" si="18"/>
        <v>0-30 Days</v>
      </c>
      <c r="U115">
        <f t="shared" si="19"/>
        <v>525000</v>
      </c>
      <c r="V115">
        <f>tbl_inventory[[#This Row],[Units_Sold]]*tbl_inventory[[#This Row],[Revenue]]</f>
        <v>22000</v>
      </c>
    </row>
    <row r="116" spans="1:22" x14ac:dyDescent="0.25">
      <c r="A116" s="2" t="s">
        <v>14</v>
      </c>
      <c r="B116" t="s">
        <v>50</v>
      </c>
      <c r="C116" t="s">
        <v>45</v>
      </c>
      <c r="D116" t="s">
        <v>67</v>
      </c>
      <c r="E116" s="2">
        <v>45658</v>
      </c>
      <c r="F116" s="3">
        <v>16</v>
      </c>
      <c r="G116">
        <v>11</v>
      </c>
      <c r="H116">
        <v>5</v>
      </c>
      <c r="I116">
        <v>15000</v>
      </c>
      <c r="J116">
        <v>22000</v>
      </c>
      <c r="K116">
        <f t="shared" si="10"/>
        <v>242000</v>
      </c>
      <c r="L116">
        <f t="shared" si="11"/>
        <v>165000</v>
      </c>
      <c r="M116">
        <f t="shared" si="12"/>
        <v>77000</v>
      </c>
      <c r="N116" s="4">
        <f t="shared" si="13"/>
        <v>0.31818181818181818</v>
      </c>
      <c r="O116" t="str">
        <f t="shared" si="14"/>
        <v>Slow Moving</v>
      </c>
      <c r="P116" t="str">
        <f t="shared" si="15"/>
        <v/>
      </c>
      <c r="Q116" t="str">
        <f t="shared" si="16"/>
        <v/>
      </c>
      <c r="S116">
        <f t="shared" si="17"/>
        <v>10.5</v>
      </c>
      <c r="T116" t="str">
        <f t="shared" si="18"/>
        <v>0-30 Days</v>
      </c>
      <c r="U116">
        <f t="shared" si="19"/>
        <v>75000</v>
      </c>
      <c r="V116">
        <f>tbl_inventory[[#This Row],[Units_Sold]]*tbl_inventory[[#This Row],[Revenue]]</f>
        <v>2662000</v>
      </c>
    </row>
    <row r="117" spans="1:22" x14ac:dyDescent="0.25">
      <c r="A117" s="2" t="s">
        <v>14</v>
      </c>
      <c r="B117" t="s">
        <v>50</v>
      </c>
      <c r="C117" t="s">
        <v>45</v>
      </c>
      <c r="D117" t="s">
        <v>67</v>
      </c>
      <c r="E117" s="2">
        <v>45689</v>
      </c>
      <c r="F117" s="3">
        <v>24</v>
      </c>
      <c r="G117">
        <v>1</v>
      </c>
      <c r="H117">
        <v>23</v>
      </c>
      <c r="I117">
        <v>15000</v>
      </c>
      <c r="J117">
        <v>22000</v>
      </c>
      <c r="K117">
        <f t="shared" si="10"/>
        <v>22000</v>
      </c>
      <c r="L117">
        <f t="shared" si="11"/>
        <v>15000</v>
      </c>
      <c r="M117">
        <f t="shared" si="12"/>
        <v>7000</v>
      </c>
      <c r="N117" s="4">
        <f t="shared" si="13"/>
        <v>0.31818181818181818</v>
      </c>
      <c r="O117" t="str">
        <f t="shared" si="14"/>
        <v>Slow Moving</v>
      </c>
      <c r="P117" t="str">
        <f t="shared" si="15"/>
        <v/>
      </c>
      <c r="Q117" t="str">
        <f t="shared" si="16"/>
        <v/>
      </c>
      <c r="S117">
        <f t="shared" si="17"/>
        <v>23.5</v>
      </c>
      <c r="T117" t="str">
        <f t="shared" si="18"/>
        <v>0-30 Days</v>
      </c>
      <c r="U117">
        <f t="shared" si="19"/>
        <v>345000</v>
      </c>
      <c r="V117">
        <f>tbl_inventory[[#This Row],[Units_Sold]]*tbl_inventory[[#This Row],[Revenue]]</f>
        <v>22000</v>
      </c>
    </row>
    <row r="118" spans="1:22" x14ac:dyDescent="0.25">
      <c r="A118" s="2" t="s">
        <v>14</v>
      </c>
      <c r="B118" t="s">
        <v>50</v>
      </c>
      <c r="C118" t="s">
        <v>45</v>
      </c>
      <c r="D118" t="s">
        <v>67</v>
      </c>
      <c r="E118" s="2">
        <v>45717</v>
      </c>
      <c r="F118" s="3">
        <v>29</v>
      </c>
      <c r="G118">
        <v>11</v>
      </c>
      <c r="H118">
        <v>18</v>
      </c>
      <c r="I118">
        <v>15000</v>
      </c>
      <c r="J118">
        <v>22000</v>
      </c>
      <c r="K118">
        <f t="shared" si="10"/>
        <v>242000</v>
      </c>
      <c r="L118">
        <f t="shared" si="11"/>
        <v>165000</v>
      </c>
      <c r="M118">
        <f t="shared" si="12"/>
        <v>77000</v>
      </c>
      <c r="N118" s="4">
        <f t="shared" si="13"/>
        <v>0.31818181818181818</v>
      </c>
      <c r="O118" t="str">
        <f t="shared" si="14"/>
        <v>Slow Moving</v>
      </c>
      <c r="P118" t="str">
        <f t="shared" si="15"/>
        <v/>
      </c>
      <c r="Q118" t="str">
        <f t="shared" si="16"/>
        <v/>
      </c>
      <c r="S118">
        <f t="shared" si="17"/>
        <v>23.5</v>
      </c>
      <c r="T118" t="str">
        <f t="shared" si="18"/>
        <v>0-30 Days</v>
      </c>
      <c r="U118">
        <f t="shared" si="19"/>
        <v>270000</v>
      </c>
      <c r="V118">
        <f>tbl_inventory[[#This Row],[Units_Sold]]*tbl_inventory[[#This Row],[Revenue]]</f>
        <v>2662000</v>
      </c>
    </row>
    <row r="119" spans="1:22" x14ac:dyDescent="0.25">
      <c r="A119" s="2" t="s">
        <v>14</v>
      </c>
      <c r="B119" t="s">
        <v>50</v>
      </c>
      <c r="C119" t="s">
        <v>45</v>
      </c>
      <c r="D119" t="s">
        <v>67</v>
      </c>
      <c r="E119" s="2">
        <v>45748</v>
      </c>
      <c r="F119" s="3">
        <v>32</v>
      </c>
      <c r="G119">
        <v>8</v>
      </c>
      <c r="H119">
        <v>24</v>
      </c>
      <c r="I119">
        <v>15000</v>
      </c>
      <c r="J119">
        <v>22000</v>
      </c>
      <c r="K119">
        <f t="shared" si="10"/>
        <v>176000</v>
      </c>
      <c r="L119">
        <f t="shared" si="11"/>
        <v>120000</v>
      </c>
      <c r="M119">
        <f t="shared" si="12"/>
        <v>56000</v>
      </c>
      <c r="N119" s="4">
        <f t="shared" si="13"/>
        <v>0.31818181818181818</v>
      </c>
      <c r="O119" t="str">
        <f t="shared" si="14"/>
        <v>Slow Moving</v>
      </c>
      <c r="P119" t="str">
        <f t="shared" si="15"/>
        <v/>
      </c>
      <c r="Q119" t="str">
        <f t="shared" si="16"/>
        <v/>
      </c>
      <c r="S119">
        <f t="shared" si="17"/>
        <v>28</v>
      </c>
      <c r="T119" t="str">
        <f t="shared" si="18"/>
        <v>0-30 Days</v>
      </c>
      <c r="U119">
        <f t="shared" si="19"/>
        <v>360000</v>
      </c>
      <c r="V119">
        <f>tbl_inventory[[#This Row],[Units_Sold]]*tbl_inventory[[#This Row],[Revenue]]</f>
        <v>1408000</v>
      </c>
    </row>
    <row r="120" spans="1:22" x14ac:dyDescent="0.25">
      <c r="A120" s="2" t="s">
        <v>14</v>
      </c>
      <c r="B120" t="s">
        <v>50</v>
      </c>
      <c r="C120" t="s">
        <v>45</v>
      </c>
      <c r="D120" t="s">
        <v>67</v>
      </c>
      <c r="E120" s="2">
        <v>45778</v>
      </c>
      <c r="F120" s="3">
        <v>17</v>
      </c>
      <c r="G120">
        <v>8</v>
      </c>
      <c r="H120">
        <v>9</v>
      </c>
      <c r="I120">
        <v>15000</v>
      </c>
      <c r="J120">
        <v>22000</v>
      </c>
      <c r="K120">
        <f t="shared" si="10"/>
        <v>176000</v>
      </c>
      <c r="L120">
        <f t="shared" si="11"/>
        <v>120000</v>
      </c>
      <c r="M120">
        <f t="shared" si="12"/>
        <v>56000</v>
      </c>
      <c r="N120" s="4">
        <f t="shared" si="13"/>
        <v>0.31818181818181818</v>
      </c>
      <c r="O120" t="str">
        <f t="shared" si="14"/>
        <v>Slow Moving</v>
      </c>
      <c r="P120" t="str">
        <f t="shared" si="15"/>
        <v/>
      </c>
      <c r="Q120" t="str">
        <f t="shared" si="16"/>
        <v/>
      </c>
      <c r="S120">
        <f t="shared" si="17"/>
        <v>13</v>
      </c>
      <c r="T120" t="str">
        <f t="shared" si="18"/>
        <v>0-30 Days</v>
      </c>
      <c r="U120">
        <f t="shared" si="19"/>
        <v>135000</v>
      </c>
      <c r="V120">
        <f>tbl_inventory[[#This Row],[Units_Sold]]*tbl_inventory[[#This Row],[Revenue]]</f>
        <v>1408000</v>
      </c>
    </row>
    <row r="121" spans="1:22" x14ac:dyDescent="0.25">
      <c r="A121" s="2" t="s">
        <v>14</v>
      </c>
      <c r="B121" t="s">
        <v>50</v>
      </c>
      <c r="C121" t="s">
        <v>45</v>
      </c>
      <c r="D121" t="s">
        <v>67</v>
      </c>
      <c r="E121" s="2">
        <v>45809</v>
      </c>
      <c r="F121" s="3">
        <v>25</v>
      </c>
      <c r="G121">
        <v>18</v>
      </c>
      <c r="H121">
        <v>7</v>
      </c>
      <c r="I121">
        <v>15000</v>
      </c>
      <c r="J121">
        <v>22000</v>
      </c>
      <c r="K121">
        <f t="shared" si="10"/>
        <v>396000</v>
      </c>
      <c r="L121">
        <f t="shared" si="11"/>
        <v>270000</v>
      </c>
      <c r="M121">
        <f t="shared" si="12"/>
        <v>126000</v>
      </c>
      <c r="N121" s="4">
        <f t="shared" si="13"/>
        <v>0.31818181818181818</v>
      </c>
      <c r="O121" t="str">
        <f t="shared" si="14"/>
        <v>Slow Moving</v>
      </c>
      <c r="P121" t="str">
        <f t="shared" si="15"/>
        <v/>
      </c>
      <c r="Q121" t="str">
        <f t="shared" si="16"/>
        <v/>
      </c>
      <c r="S121">
        <f t="shared" si="17"/>
        <v>16</v>
      </c>
      <c r="T121" t="str">
        <f t="shared" si="18"/>
        <v>0-30 Days</v>
      </c>
      <c r="U121">
        <f t="shared" si="19"/>
        <v>105000</v>
      </c>
      <c r="V121">
        <f>tbl_inventory[[#This Row],[Units_Sold]]*tbl_inventory[[#This Row],[Revenue]]</f>
        <v>7128000</v>
      </c>
    </row>
    <row r="122" spans="1:22" x14ac:dyDescent="0.25">
      <c r="A122" s="2" t="s">
        <v>15</v>
      </c>
      <c r="B122" t="s">
        <v>41</v>
      </c>
      <c r="C122" t="s">
        <v>45</v>
      </c>
      <c r="D122" t="s">
        <v>64</v>
      </c>
      <c r="E122" s="2">
        <v>45658</v>
      </c>
      <c r="F122" s="3">
        <v>10</v>
      </c>
      <c r="G122">
        <v>0</v>
      </c>
      <c r="H122">
        <v>10</v>
      </c>
      <c r="I122">
        <v>12000</v>
      </c>
      <c r="J122">
        <v>18000</v>
      </c>
      <c r="K122">
        <f t="shared" si="10"/>
        <v>0</v>
      </c>
      <c r="L122">
        <f t="shared" si="11"/>
        <v>0</v>
      </c>
      <c r="M122">
        <f t="shared" si="12"/>
        <v>0</v>
      </c>
      <c r="N122" s="4">
        <f t="shared" si="13"/>
        <v>0</v>
      </c>
      <c r="O122" t="str">
        <f t="shared" si="14"/>
        <v>Slow Moving</v>
      </c>
      <c r="P122" t="str">
        <f t="shared" si="15"/>
        <v>Dead Stock</v>
      </c>
      <c r="Q122" t="str">
        <f t="shared" si="16"/>
        <v>Low Margin</v>
      </c>
      <c r="S122">
        <f t="shared" si="17"/>
        <v>10</v>
      </c>
      <c r="T122" t="str">
        <f t="shared" si="18"/>
        <v>0-30 Days</v>
      </c>
      <c r="U122">
        <f t="shared" si="19"/>
        <v>120000</v>
      </c>
      <c r="V122">
        <f>tbl_inventory[[#This Row],[Units_Sold]]*tbl_inventory[[#This Row],[Revenue]]</f>
        <v>0</v>
      </c>
    </row>
    <row r="123" spans="1:22" x14ac:dyDescent="0.25">
      <c r="A123" s="2" t="s">
        <v>15</v>
      </c>
      <c r="B123" t="s">
        <v>41</v>
      </c>
      <c r="C123" t="s">
        <v>45</v>
      </c>
      <c r="D123" t="s">
        <v>64</v>
      </c>
      <c r="E123" s="2">
        <v>45689</v>
      </c>
      <c r="F123" s="3">
        <v>42</v>
      </c>
      <c r="G123">
        <v>31</v>
      </c>
      <c r="H123">
        <v>11</v>
      </c>
      <c r="I123">
        <v>12000</v>
      </c>
      <c r="J123">
        <v>18000</v>
      </c>
      <c r="K123">
        <f t="shared" si="10"/>
        <v>558000</v>
      </c>
      <c r="L123">
        <f t="shared" si="11"/>
        <v>372000</v>
      </c>
      <c r="M123">
        <f t="shared" si="12"/>
        <v>186000</v>
      </c>
      <c r="N123" s="4">
        <f t="shared" si="13"/>
        <v>0.33333333333333331</v>
      </c>
      <c r="O123" t="str">
        <f t="shared" si="14"/>
        <v>Normal</v>
      </c>
      <c r="P123" t="str">
        <f t="shared" si="15"/>
        <v/>
      </c>
      <c r="Q123" t="str">
        <f t="shared" si="16"/>
        <v/>
      </c>
      <c r="S123">
        <f t="shared" si="17"/>
        <v>26.5</v>
      </c>
      <c r="T123" t="str">
        <f t="shared" si="18"/>
        <v>0-30 Days</v>
      </c>
      <c r="U123">
        <f t="shared" si="19"/>
        <v>132000</v>
      </c>
      <c r="V123">
        <f>tbl_inventory[[#This Row],[Units_Sold]]*tbl_inventory[[#This Row],[Revenue]]</f>
        <v>17298000</v>
      </c>
    </row>
    <row r="124" spans="1:22" x14ac:dyDescent="0.25">
      <c r="A124" s="2" t="s">
        <v>15</v>
      </c>
      <c r="B124" t="s">
        <v>41</v>
      </c>
      <c r="C124" t="s">
        <v>45</v>
      </c>
      <c r="D124" t="s">
        <v>64</v>
      </c>
      <c r="E124" s="2">
        <v>45717</v>
      </c>
      <c r="F124" s="3">
        <v>48</v>
      </c>
      <c r="G124">
        <v>12</v>
      </c>
      <c r="H124">
        <v>36</v>
      </c>
      <c r="I124">
        <v>12000</v>
      </c>
      <c r="J124">
        <v>18000</v>
      </c>
      <c r="K124">
        <f t="shared" si="10"/>
        <v>216000</v>
      </c>
      <c r="L124">
        <f t="shared" si="11"/>
        <v>144000</v>
      </c>
      <c r="M124">
        <f t="shared" si="12"/>
        <v>72000</v>
      </c>
      <c r="N124" s="4">
        <f t="shared" si="13"/>
        <v>0.33333333333333331</v>
      </c>
      <c r="O124" t="str">
        <f t="shared" si="14"/>
        <v>Slow Moving</v>
      </c>
      <c r="P124" t="str">
        <f t="shared" si="15"/>
        <v/>
      </c>
      <c r="Q124" t="str">
        <f t="shared" si="16"/>
        <v/>
      </c>
      <c r="S124">
        <f t="shared" si="17"/>
        <v>42</v>
      </c>
      <c r="T124" t="str">
        <f t="shared" si="18"/>
        <v>0-30 Days</v>
      </c>
      <c r="U124">
        <f t="shared" si="19"/>
        <v>432000</v>
      </c>
      <c r="V124">
        <f>tbl_inventory[[#This Row],[Units_Sold]]*tbl_inventory[[#This Row],[Revenue]]</f>
        <v>2592000</v>
      </c>
    </row>
    <row r="125" spans="1:22" x14ac:dyDescent="0.25">
      <c r="A125" s="2" t="s">
        <v>15</v>
      </c>
      <c r="B125" t="s">
        <v>41</v>
      </c>
      <c r="C125" t="s">
        <v>45</v>
      </c>
      <c r="D125" t="s">
        <v>64</v>
      </c>
      <c r="E125" s="2">
        <v>45748</v>
      </c>
      <c r="F125" s="3">
        <v>42</v>
      </c>
      <c r="G125">
        <v>25</v>
      </c>
      <c r="H125">
        <v>17</v>
      </c>
      <c r="I125">
        <v>12000</v>
      </c>
      <c r="J125">
        <v>18000</v>
      </c>
      <c r="K125">
        <f t="shared" si="10"/>
        <v>450000</v>
      </c>
      <c r="L125">
        <f t="shared" si="11"/>
        <v>300000</v>
      </c>
      <c r="M125">
        <f t="shared" si="12"/>
        <v>150000</v>
      </c>
      <c r="N125" s="4">
        <f t="shared" si="13"/>
        <v>0.33333333333333331</v>
      </c>
      <c r="O125" t="str">
        <f t="shared" si="14"/>
        <v>Normal</v>
      </c>
      <c r="P125" t="str">
        <f t="shared" si="15"/>
        <v/>
      </c>
      <c r="Q125" t="str">
        <f t="shared" si="16"/>
        <v/>
      </c>
      <c r="S125">
        <f t="shared" si="17"/>
        <v>29.5</v>
      </c>
      <c r="T125" t="str">
        <f t="shared" si="18"/>
        <v>0-30 Days</v>
      </c>
      <c r="U125">
        <f t="shared" si="19"/>
        <v>204000</v>
      </c>
      <c r="V125">
        <f>tbl_inventory[[#This Row],[Units_Sold]]*tbl_inventory[[#This Row],[Revenue]]</f>
        <v>11250000</v>
      </c>
    </row>
    <row r="126" spans="1:22" x14ac:dyDescent="0.25">
      <c r="A126" s="2" t="s">
        <v>15</v>
      </c>
      <c r="B126" t="s">
        <v>41</v>
      </c>
      <c r="C126" t="s">
        <v>45</v>
      </c>
      <c r="D126" t="s">
        <v>64</v>
      </c>
      <c r="E126" s="2">
        <v>45778</v>
      </c>
      <c r="F126" s="3">
        <v>15</v>
      </c>
      <c r="G126">
        <v>7</v>
      </c>
      <c r="H126">
        <v>8</v>
      </c>
      <c r="I126">
        <v>12000</v>
      </c>
      <c r="J126">
        <v>18000</v>
      </c>
      <c r="K126">
        <f t="shared" si="10"/>
        <v>126000</v>
      </c>
      <c r="L126">
        <f t="shared" si="11"/>
        <v>84000</v>
      </c>
      <c r="M126">
        <f t="shared" si="12"/>
        <v>42000</v>
      </c>
      <c r="N126" s="4">
        <f t="shared" si="13"/>
        <v>0.33333333333333331</v>
      </c>
      <c r="O126" t="str">
        <f t="shared" si="14"/>
        <v>Slow Moving</v>
      </c>
      <c r="P126" t="str">
        <f t="shared" si="15"/>
        <v/>
      </c>
      <c r="Q126" t="str">
        <f t="shared" si="16"/>
        <v/>
      </c>
      <c r="S126">
        <f t="shared" si="17"/>
        <v>11.5</v>
      </c>
      <c r="T126" t="str">
        <f t="shared" si="18"/>
        <v>0-30 Days</v>
      </c>
      <c r="U126">
        <f t="shared" si="19"/>
        <v>96000</v>
      </c>
      <c r="V126">
        <f>tbl_inventory[[#This Row],[Units_Sold]]*tbl_inventory[[#This Row],[Revenue]]</f>
        <v>882000</v>
      </c>
    </row>
    <row r="127" spans="1:22" x14ac:dyDescent="0.25">
      <c r="A127" s="2" t="s">
        <v>15</v>
      </c>
      <c r="B127" t="s">
        <v>41</v>
      </c>
      <c r="C127" t="s">
        <v>45</v>
      </c>
      <c r="D127" t="s">
        <v>64</v>
      </c>
      <c r="E127" s="2">
        <v>45809</v>
      </c>
      <c r="F127" s="3">
        <v>34</v>
      </c>
      <c r="G127">
        <v>3</v>
      </c>
      <c r="H127">
        <v>31</v>
      </c>
      <c r="I127">
        <v>12000</v>
      </c>
      <c r="J127">
        <v>18000</v>
      </c>
      <c r="K127">
        <f t="shared" si="10"/>
        <v>54000</v>
      </c>
      <c r="L127">
        <f t="shared" si="11"/>
        <v>36000</v>
      </c>
      <c r="M127">
        <f t="shared" si="12"/>
        <v>18000</v>
      </c>
      <c r="N127" s="4">
        <f t="shared" si="13"/>
        <v>0.33333333333333331</v>
      </c>
      <c r="O127" t="str">
        <f t="shared" si="14"/>
        <v>Slow Moving</v>
      </c>
      <c r="P127" t="str">
        <f t="shared" si="15"/>
        <v/>
      </c>
      <c r="Q127" t="str">
        <f t="shared" si="16"/>
        <v/>
      </c>
      <c r="S127">
        <f t="shared" si="17"/>
        <v>32.5</v>
      </c>
      <c r="T127" t="str">
        <f t="shared" si="18"/>
        <v>0-30 Days</v>
      </c>
      <c r="U127">
        <f t="shared" si="19"/>
        <v>372000</v>
      </c>
      <c r="V127">
        <f>tbl_inventory[[#This Row],[Units_Sold]]*tbl_inventory[[#This Row],[Revenue]]</f>
        <v>162000</v>
      </c>
    </row>
    <row r="128" spans="1:22" x14ac:dyDescent="0.25">
      <c r="A128" s="2" t="s">
        <v>15</v>
      </c>
      <c r="B128" t="s">
        <v>41</v>
      </c>
      <c r="C128" t="s">
        <v>45</v>
      </c>
      <c r="D128" t="s">
        <v>65</v>
      </c>
      <c r="E128" s="2">
        <v>45658</v>
      </c>
      <c r="F128" s="3">
        <v>23</v>
      </c>
      <c r="G128">
        <v>9</v>
      </c>
      <c r="H128">
        <v>14</v>
      </c>
      <c r="I128">
        <v>12000</v>
      </c>
      <c r="J128">
        <v>18000</v>
      </c>
      <c r="K128">
        <f t="shared" si="10"/>
        <v>162000</v>
      </c>
      <c r="L128">
        <f t="shared" si="11"/>
        <v>108000</v>
      </c>
      <c r="M128">
        <f t="shared" si="12"/>
        <v>54000</v>
      </c>
      <c r="N128" s="4">
        <f t="shared" si="13"/>
        <v>0.33333333333333331</v>
      </c>
      <c r="O128" t="str">
        <f t="shared" si="14"/>
        <v>Slow Moving</v>
      </c>
      <c r="P128" t="str">
        <f t="shared" si="15"/>
        <v/>
      </c>
      <c r="Q128" t="str">
        <f t="shared" si="16"/>
        <v/>
      </c>
      <c r="S128">
        <f t="shared" si="17"/>
        <v>18.5</v>
      </c>
      <c r="T128" t="str">
        <f t="shared" si="18"/>
        <v>0-30 Days</v>
      </c>
      <c r="U128">
        <f t="shared" si="19"/>
        <v>168000</v>
      </c>
      <c r="V128">
        <f>tbl_inventory[[#This Row],[Units_Sold]]*tbl_inventory[[#This Row],[Revenue]]</f>
        <v>1458000</v>
      </c>
    </row>
    <row r="129" spans="1:22" x14ac:dyDescent="0.25">
      <c r="A129" s="2" t="s">
        <v>15</v>
      </c>
      <c r="B129" t="s">
        <v>41</v>
      </c>
      <c r="C129" t="s">
        <v>45</v>
      </c>
      <c r="D129" t="s">
        <v>65</v>
      </c>
      <c r="E129" s="2">
        <v>45689</v>
      </c>
      <c r="F129" s="3">
        <v>44</v>
      </c>
      <c r="G129">
        <v>5</v>
      </c>
      <c r="H129">
        <v>39</v>
      </c>
      <c r="I129">
        <v>12000</v>
      </c>
      <c r="J129">
        <v>18000</v>
      </c>
      <c r="K129">
        <f t="shared" si="10"/>
        <v>90000</v>
      </c>
      <c r="L129">
        <f t="shared" si="11"/>
        <v>60000</v>
      </c>
      <c r="M129">
        <f t="shared" si="12"/>
        <v>30000</v>
      </c>
      <c r="N129" s="4">
        <f t="shared" si="13"/>
        <v>0.33333333333333331</v>
      </c>
      <c r="O129" t="str">
        <f t="shared" si="14"/>
        <v>Slow Moving</v>
      </c>
      <c r="P129" t="str">
        <f t="shared" si="15"/>
        <v/>
      </c>
      <c r="Q129" t="str">
        <f t="shared" si="16"/>
        <v/>
      </c>
      <c r="S129">
        <f t="shared" si="17"/>
        <v>41.5</v>
      </c>
      <c r="T129" t="str">
        <f t="shared" si="18"/>
        <v>0-30 Days</v>
      </c>
      <c r="U129">
        <f t="shared" si="19"/>
        <v>468000</v>
      </c>
      <c r="V129">
        <f>tbl_inventory[[#This Row],[Units_Sold]]*tbl_inventory[[#This Row],[Revenue]]</f>
        <v>450000</v>
      </c>
    </row>
    <row r="130" spans="1:22" x14ac:dyDescent="0.25">
      <c r="A130" s="2" t="s">
        <v>15</v>
      </c>
      <c r="B130" t="s">
        <v>41</v>
      </c>
      <c r="C130" t="s">
        <v>45</v>
      </c>
      <c r="D130" t="s">
        <v>65</v>
      </c>
      <c r="E130" s="2">
        <v>45717</v>
      </c>
      <c r="F130" s="3">
        <v>50</v>
      </c>
      <c r="G130">
        <v>36</v>
      </c>
      <c r="H130">
        <v>14</v>
      </c>
      <c r="I130">
        <v>12000</v>
      </c>
      <c r="J130">
        <v>18000</v>
      </c>
      <c r="K130">
        <f t="shared" si="10"/>
        <v>648000</v>
      </c>
      <c r="L130">
        <f t="shared" si="11"/>
        <v>432000</v>
      </c>
      <c r="M130">
        <f t="shared" si="12"/>
        <v>216000</v>
      </c>
      <c r="N130" s="4">
        <f t="shared" si="13"/>
        <v>0.33333333333333331</v>
      </c>
      <c r="O130" t="str">
        <f t="shared" si="14"/>
        <v>Normal</v>
      </c>
      <c r="P130" t="str">
        <f t="shared" si="15"/>
        <v/>
      </c>
      <c r="Q130" t="str">
        <f t="shared" si="16"/>
        <v/>
      </c>
      <c r="S130">
        <f t="shared" si="17"/>
        <v>32</v>
      </c>
      <c r="T130" t="str">
        <f t="shared" si="18"/>
        <v>0-30 Days</v>
      </c>
      <c r="U130">
        <f t="shared" si="19"/>
        <v>168000</v>
      </c>
      <c r="V130">
        <f>tbl_inventory[[#This Row],[Units_Sold]]*tbl_inventory[[#This Row],[Revenue]]</f>
        <v>23328000</v>
      </c>
    </row>
    <row r="131" spans="1:22" x14ac:dyDescent="0.25">
      <c r="A131" s="2" t="s">
        <v>15</v>
      </c>
      <c r="B131" t="s">
        <v>41</v>
      </c>
      <c r="C131" t="s">
        <v>45</v>
      </c>
      <c r="D131" t="s">
        <v>65</v>
      </c>
      <c r="E131" s="2">
        <v>45748</v>
      </c>
      <c r="F131" s="3">
        <v>42</v>
      </c>
      <c r="G131">
        <v>30</v>
      </c>
      <c r="H131">
        <v>12</v>
      </c>
      <c r="I131">
        <v>12000</v>
      </c>
      <c r="J131">
        <v>18000</v>
      </c>
      <c r="K131">
        <f t="shared" ref="K131:K194" si="20">G131*J131</f>
        <v>540000</v>
      </c>
      <c r="L131">
        <f t="shared" ref="L131:L194" si="21">G131*I131</f>
        <v>360000</v>
      </c>
      <c r="M131">
        <f t="shared" ref="M131:M194" si="22">K131-L131</f>
        <v>180000</v>
      </c>
      <c r="N131" s="4">
        <f t="shared" ref="N131:N194" si="23">IF(K131=0,0,M131/K131)</f>
        <v>0.33333333333333331</v>
      </c>
      <c r="O131" t="str">
        <f t="shared" ref="O131:O194" si="24">IF(G131&lt;20,"Slow Moving","Normal")</f>
        <v>Normal</v>
      </c>
      <c r="P131" t="str">
        <f t="shared" ref="P131:P194" si="25">IF(G131=0,"Dead Stock","")</f>
        <v/>
      </c>
      <c r="Q131" t="str">
        <f t="shared" ref="Q131:Q194" si="26">IF(N131&lt;0.1,"Low Margin","")</f>
        <v/>
      </c>
      <c r="S131">
        <f t="shared" ref="S131:S194" si="27">(F131+H131)/2</f>
        <v>27</v>
      </c>
      <c r="T131" t="str">
        <f t="shared" ref="T131:T194" si="28">IF(H131&gt;200,"90+ Days",
IF(H131&gt;100,"60-90 Days",
IF(H131&gt;50,"30-60 Days","0-30 Days")))</f>
        <v>0-30 Days</v>
      </c>
      <c r="U131">
        <f t="shared" ref="U131:U194" si="29">H131 * I131</f>
        <v>144000</v>
      </c>
      <c r="V131">
        <f>tbl_inventory[[#This Row],[Units_Sold]]*tbl_inventory[[#This Row],[Revenue]]</f>
        <v>16200000</v>
      </c>
    </row>
    <row r="132" spans="1:22" x14ac:dyDescent="0.25">
      <c r="A132" s="2" t="s">
        <v>15</v>
      </c>
      <c r="B132" t="s">
        <v>41</v>
      </c>
      <c r="C132" t="s">
        <v>45</v>
      </c>
      <c r="D132" t="s">
        <v>65</v>
      </c>
      <c r="E132" s="2">
        <v>45778</v>
      </c>
      <c r="F132" s="3">
        <v>21</v>
      </c>
      <c r="G132">
        <v>13</v>
      </c>
      <c r="H132">
        <v>8</v>
      </c>
      <c r="I132">
        <v>12000</v>
      </c>
      <c r="J132">
        <v>18000</v>
      </c>
      <c r="K132">
        <f t="shared" si="20"/>
        <v>234000</v>
      </c>
      <c r="L132">
        <f t="shared" si="21"/>
        <v>156000</v>
      </c>
      <c r="M132">
        <f t="shared" si="22"/>
        <v>78000</v>
      </c>
      <c r="N132" s="4">
        <f t="shared" si="23"/>
        <v>0.33333333333333331</v>
      </c>
      <c r="O132" t="str">
        <f t="shared" si="24"/>
        <v>Slow Moving</v>
      </c>
      <c r="P132" t="str">
        <f t="shared" si="25"/>
        <v/>
      </c>
      <c r="Q132" t="str">
        <f t="shared" si="26"/>
        <v/>
      </c>
      <c r="S132">
        <f t="shared" si="27"/>
        <v>14.5</v>
      </c>
      <c r="T132" t="str">
        <f t="shared" si="28"/>
        <v>0-30 Days</v>
      </c>
      <c r="U132">
        <f t="shared" si="29"/>
        <v>96000</v>
      </c>
      <c r="V132">
        <f>tbl_inventory[[#This Row],[Units_Sold]]*tbl_inventory[[#This Row],[Revenue]]</f>
        <v>3042000</v>
      </c>
    </row>
    <row r="133" spans="1:22" x14ac:dyDescent="0.25">
      <c r="A133" s="2" t="s">
        <v>15</v>
      </c>
      <c r="B133" t="s">
        <v>41</v>
      </c>
      <c r="C133" t="s">
        <v>45</v>
      </c>
      <c r="D133" t="s">
        <v>65</v>
      </c>
      <c r="E133" s="2">
        <v>45809</v>
      </c>
      <c r="F133" s="3">
        <v>43</v>
      </c>
      <c r="G133">
        <v>14</v>
      </c>
      <c r="H133">
        <v>29</v>
      </c>
      <c r="I133">
        <v>12000</v>
      </c>
      <c r="J133">
        <v>18000</v>
      </c>
      <c r="K133">
        <f t="shared" si="20"/>
        <v>252000</v>
      </c>
      <c r="L133">
        <f t="shared" si="21"/>
        <v>168000</v>
      </c>
      <c r="M133">
        <f t="shared" si="22"/>
        <v>84000</v>
      </c>
      <c r="N133" s="4">
        <f t="shared" si="23"/>
        <v>0.33333333333333331</v>
      </c>
      <c r="O133" t="str">
        <f t="shared" si="24"/>
        <v>Slow Moving</v>
      </c>
      <c r="P133" t="str">
        <f t="shared" si="25"/>
        <v/>
      </c>
      <c r="Q133" t="str">
        <f t="shared" si="26"/>
        <v/>
      </c>
      <c r="S133">
        <f t="shared" si="27"/>
        <v>36</v>
      </c>
      <c r="T133" t="str">
        <f t="shared" si="28"/>
        <v>0-30 Days</v>
      </c>
      <c r="U133">
        <f t="shared" si="29"/>
        <v>348000</v>
      </c>
      <c r="V133">
        <f>tbl_inventory[[#This Row],[Units_Sold]]*tbl_inventory[[#This Row],[Revenue]]</f>
        <v>3528000</v>
      </c>
    </row>
    <row r="134" spans="1:22" x14ac:dyDescent="0.25">
      <c r="A134" s="2" t="s">
        <v>15</v>
      </c>
      <c r="B134" t="s">
        <v>41</v>
      </c>
      <c r="C134" t="s">
        <v>45</v>
      </c>
      <c r="D134" t="s">
        <v>66</v>
      </c>
      <c r="E134" s="2">
        <v>45658</v>
      </c>
      <c r="F134" s="3">
        <v>15</v>
      </c>
      <c r="G134">
        <v>5</v>
      </c>
      <c r="H134">
        <v>10</v>
      </c>
      <c r="I134">
        <v>12000</v>
      </c>
      <c r="J134">
        <v>18000</v>
      </c>
      <c r="K134">
        <f t="shared" si="20"/>
        <v>90000</v>
      </c>
      <c r="L134">
        <f t="shared" si="21"/>
        <v>60000</v>
      </c>
      <c r="M134">
        <f t="shared" si="22"/>
        <v>30000</v>
      </c>
      <c r="N134" s="4">
        <f t="shared" si="23"/>
        <v>0.33333333333333331</v>
      </c>
      <c r="O134" t="str">
        <f t="shared" si="24"/>
        <v>Slow Moving</v>
      </c>
      <c r="P134" t="str">
        <f t="shared" si="25"/>
        <v/>
      </c>
      <c r="Q134" t="str">
        <f t="shared" si="26"/>
        <v/>
      </c>
      <c r="S134">
        <f t="shared" si="27"/>
        <v>12.5</v>
      </c>
      <c r="T134" t="str">
        <f t="shared" si="28"/>
        <v>0-30 Days</v>
      </c>
      <c r="U134">
        <f t="shared" si="29"/>
        <v>120000</v>
      </c>
      <c r="V134">
        <f>tbl_inventory[[#This Row],[Units_Sold]]*tbl_inventory[[#This Row],[Revenue]]</f>
        <v>450000</v>
      </c>
    </row>
    <row r="135" spans="1:22" x14ac:dyDescent="0.25">
      <c r="A135" s="2" t="s">
        <v>15</v>
      </c>
      <c r="B135" t="s">
        <v>41</v>
      </c>
      <c r="C135" t="s">
        <v>45</v>
      </c>
      <c r="D135" t="s">
        <v>66</v>
      </c>
      <c r="E135" s="2">
        <v>45689</v>
      </c>
      <c r="F135" s="3">
        <v>29</v>
      </c>
      <c r="G135">
        <v>14</v>
      </c>
      <c r="H135">
        <v>15</v>
      </c>
      <c r="I135">
        <v>12000</v>
      </c>
      <c r="J135">
        <v>18000</v>
      </c>
      <c r="K135">
        <f t="shared" si="20"/>
        <v>252000</v>
      </c>
      <c r="L135">
        <f t="shared" si="21"/>
        <v>168000</v>
      </c>
      <c r="M135">
        <f t="shared" si="22"/>
        <v>84000</v>
      </c>
      <c r="N135" s="4">
        <f t="shared" si="23"/>
        <v>0.33333333333333331</v>
      </c>
      <c r="O135" t="str">
        <f t="shared" si="24"/>
        <v>Slow Moving</v>
      </c>
      <c r="P135" t="str">
        <f t="shared" si="25"/>
        <v/>
      </c>
      <c r="Q135" t="str">
        <f t="shared" si="26"/>
        <v/>
      </c>
      <c r="S135">
        <f t="shared" si="27"/>
        <v>22</v>
      </c>
      <c r="T135" t="str">
        <f t="shared" si="28"/>
        <v>0-30 Days</v>
      </c>
      <c r="U135">
        <f t="shared" si="29"/>
        <v>180000</v>
      </c>
      <c r="V135">
        <f>tbl_inventory[[#This Row],[Units_Sold]]*tbl_inventory[[#This Row],[Revenue]]</f>
        <v>3528000</v>
      </c>
    </row>
    <row r="136" spans="1:22" x14ac:dyDescent="0.25">
      <c r="A136" s="2" t="s">
        <v>15</v>
      </c>
      <c r="B136" t="s">
        <v>41</v>
      </c>
      <c r="C136" t="s">
        <v>45</v>
      </c>
      <c r="D136" t="s">
        <v>66</v>
      </c>
      <c r="E136" s="2">
        <v>45717</v>
      </c>
      <c r="F136" s="3">
        <v>20</v>
      </c>
      <c r="G136">
        <v>9</v>
      </c>
      <c r="H136">
        <v>11</v>
      </c>
      <c r="I136">
        <v>12000</v>
      </c>
      <c r="J136">
        <v>18000</v>
      </c>
      <c r="K136">
        <f t="shared" si="20"/>
        <v>162000</v>
      </c>
      <c r="L136">
        <f t="shared" si="21"/>
        <v>108000</v>
      </c>
      <c r="M136">
        <f t="shared" si="22"/>
        <v>54000</v>
      </c>
      <c r="N136" s="4">
        <f t="shared" si="23"/>
        <v>0.33333333333333331</v>
      </c>
      <c r="O136" t="str">
        <f t="shared" si="24"/>
        <v>Slow Moving</v>
      </c>
      <c r="P136" t="str">
        <f t="shared" si="25"/>
        <v/>
      </c>
      <c r="Q136" t="str">
        <f t="shared" si="26"/>
        <v/>
      </c>
      <c r="S136">
        <f t="shared" si="27"/>
        <v>15.5</v>
      </c>
      <c r="T136" t="str">
        <f t="shared" si="28"/>
        <v>0-30 Days</v>
      </c>
      <c r="U136">
        <f t="shared" si="29"/>
        <v>132000</v>
      </c>
      <c r="V136">
        <f>tbl_inventory[[#This Row],[Units_Sold]]*tbl_inventory[[#This Row],[Revenue]]</f>
        <v>1458000</v>
      </c>
    </row>
    <row r="137" spans="1:22" x14ac:dyDescent="0.25">
      <c r="A137" s="2" t="s">
        <v>15</v>
      </c>
      <c r="B137" t="s">
        <v>41</v>
      </c>
      <c r="C137" t="s">
        <v>45</v>
      </c>
      <c r="D137" t="s">
        <v>66</v>
      </c>
      <c r="E137" s="2">
        <v>45748</v>
      </c>
      <c r="F137" s="3">
        <v>52</v>
      </c>
      <c r="G137">
        <v>13</v>
      </c>
      <c r="H137">
        <v>39</v>
      </c>
      <c r="I137">
        <v>12000</v>
      </c>
      <c r="J137">
        <v>18000</v>
      </c>
      <c r="K137">
        <f t="shared" si="20"/>
        <v>234000</v>
      </c>
      <c r="L137">
        <f t="shared" si="21"/>
        <v>156000</v>
      </c>
      <c r="M137">
        <f t="shared" si="22"/>
        <v>78000</v>
      </c>
      <c r="N137" s="4">
        <f t="shared" si="23"/>
        <v>0.33333333333333331</v>
      </c>
      <c r="O137" t="str">
        <f t="shared" si="24"/>
        <v>Slow Moving</v>
      </c>
      <c r="P137" t="str">
        <f t="shared" si="25"/>
        <v/>
      </c>
      <c r="Q137" t="str">
        <f t="shared" si="26"/>
        <v/>
      </c>
      <c r="S137">
        <f t="shared" si="27"/>
        <v>45.5</v>
      </c>
      <c r="T137" t="str">
        <f t="shared" si="28"/>
        <v>0-30 Days</v>
      </c>
      <c r="U137">
        <f t="shared" si="29"/>
        <v>468000</v>
      </c>
      <c r="V137">
        <f>tbl_inventory[[#This Row],[Units_Sold]]*tbl_inventory[[#This Row],[Revenue]]</f>
        <v>3042000</v>
      </c>
    </row>
    <row r="138" spans="1:22" x14ac:dyDescent="0.25">
      <c r="A138" s="2" t="s">
        <v>15</v>
      </c>
      <c r="B138" t="s">
        <v>41</v>
      </c>
      <c r="C138" t="s">
        <v>45</v>
      </c>
      <c r="D138" t="s">
        <v>66</v>
      </c>
      <c r="E138" s="2">
        <v>45778</v>
      </c>
      <c r="F138" s="3">
        <v>14</v>
      </c>
      <c r="G138">
        <v>9</v>
      </c>
      <c r="H138">
        <v>5</v>
      </c>
      <c r="I138">
        <v>12000</v>
      </c>
      <c r="J138">
        <v>18000</v>
      </c>
      <c r="K138">
        <f t="shared" si="20"/>
        <v>162000</v>
      </c>
      <c r="L138">
        <f t="shared" si="21"/>
        <v>108000</v>
      </c>
      <c r="M138">
        <f t="shared" si="22"/>
        <v>54000</v>
      </c>
      <c r="N138" s="4">
        <f t="shared" si="23"/>
        <v>0.33333333333333331</v>
      </c>
      <c r="O138" t="str">
        <f t="shared" si="24"/>
        <v>Slow Moving</v>
      </c>
      <c r="P138" t="str">
        <f t="shared" si="25"/>
        <v/>
      </c>
      <c r="Q138" t="str">
        <f t="shared" si="26"/>
        <v/>
      </c>
      <c r="S138">
        <f t="shared" si="27"/>
        <v>9.5</v>
      </c>
      <c r="T138" t="str">
        <f t="shared" si="28"/>
        <v>0-30 Days</v>
      </c>
      <c r="U138">
        <f t="shared" si="29"/>
        <v>60000</v>
      </c>
      <c r="V138">
        <f>tbl_inventory[[#This Row],[Units_Sold]]*tbl_inventory[[#This Row],[Revenue]]</f>
        <v>1458000</v>
      </c>
    </row>
    <row r="139" spans="1:22" x14ac:dyDescent="0.25">
      <c r="A139" s="2" t="s">
        <v>15</v>
      </c>
      <c r="B139" t="s">
        <v>41</v>
      </c>
      <c r="C139" t="s">
        <v>45</v>
      </c>
      <c r="D139" t="s">
        <v>66</v>
      </c>
      <c r="E139" s="2">
        <v>45809</v>
      </c>
      <c r="F139" s="3">
        <v>22</v>
      </c>
      <c r="G139">
        <v>21</v>
      </c>
      <c r="H139">
        <v>1</v>
      </c>
      <c r="I139">
        <v>12000</v>
      </c>
      <c r="J139">
        <v>18000</v>
      </c>
      <c r="K139">
        <f t="shared" si="20"/>
        <v>378000</v>
      </c>
      <c r="L139">
        <f t="shared" si="21"/>
        <v>252000</v>
      </c>
      <c r="M139">
        <f t="shared" si="22"/>
        <v>126000</v>
      </c>
      <c r="N139" s="4">
        <f t="shared" si="23"/>
        <v>0.33333333333333331</v>
      </c>
      <c r="O139" t="str">
        <f t="shared" si="24"/>
        <v>Normal</v>
      </c>
      <c r="P139" t="str">
        <f t="shared" si="25"/>
        <v/>
      </c>
      <c r="Q139" t="str">
        <f t="shared" si="26"/>
        <v/>
      </c>
      <c r="S139">
        <f t="shared" si="27"/>
        <v>11.5</v>
      </c>
      <c r="T139" t="str">
        <f t="shared" si="28"/>
        <v>0-30 Days</v>
      </c>
      <c r="U139">
        <f t="shared" si="29"/>
        <v>12000</v>
      </c>
      <c r="V139">
        <f>tbl_inventory[[#This Row],[Units_Sold]]*tbl_inventory[[#This Row],[Revenue]]</f>
        <v>7938000</v>
      </c>
    </row>
    <row r="140" spans="1:22" x14ac:dyDescent="0.25">
      <c r="A140" s="2" t="s">
        <v>15</v>
      </c>
      <c r="B140" t="s">
        <v>41</v>
      </c>
      <c r="C140" t="s">
        <v>45</v>
      </c>
      <c r="D140" t="s">
        <v>67</v>
      </c>
      <c r="E140" s="2">
        <v>45658</v>
      </c>
      <c r="F140" s="3">
        <v>21</v>
      </c>
      <c r="G140">
        <v>21</v>
      </c>
      <c r="H140">
        <v>0</v>
      </c>
      <c r="I140">
        <v>12000</v>
      </c>
      <c r="J140">
        <v>18000</v>
      </c>
      <c r="K140">
        <f t="shared" si="20"/>
        <v>378000</v>
      </c>
      <c r="L140">
        <f t="shared" si="21"/>
        <v>252000</v>
      </c>
      <c r="M140">
        <f t="shared" si="22"/>
        <v>126000</v>
      </c>
      <c r="N140" s="4">
        <f t="shared" si="23"/>
        <v>0.33333333333333331</v>
      </c>
      <c r="O140" t="str">
        <f t="shared" si="24"/>
        <v>Normal</v>
      </c>
      <c r="P140" t="str">
        <f t="shared" si="25"/>
        <v/>
      </c>
      <c r="Q140" t="str">
        <f t="shared" si="26"/>
        <v/>
      </c>
      <c r="S140">
        <f t="shared" si="27"/>
        <v>10.5</v>
      </c>
      <c r="T140" t="str">
        <f t="shared" si="28"/>
        <v>0-30 Days</v>
      </c>
      <c r="U140">
        <f t="shared" si="29"/>
        <v>0</v>
      </c>
      <c r="V140">
        <f>tbl_inventory[[#This Row],[Units_Sold]]*tbl_inventory[[#This Row],[Revenue]]</f>
        <v>7938000</v>
      </c>
    </row>
    <row r="141" spans="1:22" x14ac:dyDescent="0.25">
      <c r="A141" s="2" t="s">
        <v>15</v>
      </c>
      <c r="B141" t="s">
        <v>41</v>
      </c>
      <c r="C141" t="s">
        <v>45</v>
      </c>
      <c r="D141" t="s">
        <v>67</v>
      </c>
      <c r="E141" s="2">
        <v>45689</v>
      </c>
      <c r="F141" s="3">
        <v>50</v>
      </c>
      <c r="G141">
        <v>15</v>
      </c>
      <c r="H141">
        <v>35</v>
      </c>
      <c r="I141">
        <v>12000</v>
      </c>
      <c r="J141">
        <v>18000</v>
      </c>
      <c r="K141">
        <f t="shared" si="20"/>
        <v>270000</v>
      </c>
      <c r="L141">
        <f t="shared" si="21"/>
        <v>180000</v>
      </c>
      <c r="M141">
        <f t="shared" si="22"/>
        <v>90000</v>
      </c>
      <c r="N141" s="4">
        <f t="shared" si="23"/>
        <v>0.33333333333333331</v>
      </c>
      <c r="O141" t="str">
        <f t="shared" si="24"/>
        <v>Slow Moving</v>
      </c>
      <c r="P141" t="str">
        <f t="shared" si="25"/>
        <v/>
      </c>
      <c r="Q141" t="str">
        <f t="shared" si="26"/>
        <v/>
      </c>
      <c r="S141">
        <f t="shared" si="27"/>
        <v>42.5</v>
      </c>
      <c r="T141" t="str">
        <f t="shared" si="28"/>
        <v>0-30 Days</v>
      </c>
      <c r="U141">
        <f t="shared" si="29"/>
        <v>420000</v>
      </c>
      <c r="V141">
        <f>tbl_inventory[[#This Row],[Units_Sold]]*tbl_inventory[[#This Row],[Revenue]]</f>
        <v>4050000</v>
      </c>
    </row>
    <row r="142" spans="1:22" x14ac:dyDescent="0.25">
      <c r="A142" s="2" t="s">
        <v>15</v>
      </c>
      <c r="B142" t="s">
        <v>41</v>
      </c>
      <c r="C142" t="s">
        <v>45</v>
      </c>
      <c r="D142" t="s">
        <v>67</v>
      </c>
      <c r="E142" s="2">
        <v>45717</v>
      </c>
      <c r="F142" s="3">
        <v>13</v>
      </c>
      <c r="G142">
        <v>12</v>
      </c>
      <c r="H142">
        <v>1</v>
      </c>
      <c r="I142">
        <v>12000</v>
      </c>
      <c r="J142">
        <v>18000</v>
      </c>
      <c r="K142">
        <f t="shared" si="20"/>
        <v>216000</v>
      </c>
      <c r="L142">
        <f t="shared" si="21"/>
        <v>144000</v>
      </c>
      <c r="M142">
        <f t="shared" si="22"/>
        <v>72000</v>
      </c>
      <c r="N142" s="4">
        <f t="shared" si="23"/>
        <v>0.33333333333333331</v>
      </c>
      <c r="O142" t="str">
        <f t="shared" si="24"/>
        <v>Slow Moving</v>
      </c>
      <c r="P142" t="str">
        <f t="shared" si="25"/>
        <v/>
      </c>
      <c r="Q142" t="str">
        <f t="shared" si="26"/>
        <v/>
      </c>
      <c r="S142">
        <f t="shared" si="27"/>
        <v>7</v>
      </c>
      <c r="T142" t="str">
        <f t="shared" si="28"/>
        <v>0-30 Days</v>
      </c>
      <c r="U142">
        <f t="shared" si="29"/>
        <v>12000</v>
      </c>
      <c r="V142">
        <f>tbl_inventory[[#This Row],[Units_Sold]]*tbl_inventory[[#This Row],[Revenue]]</f>
        <v>2592000</v>
      </c>
    </row>
    <row r="143" spans="1:22" x14ac:dyDescent="0.25">
      <c r="A143" s="2" t="s">
        <v>15</v>
      </c>
      <c r="B143" t="s">
        <v>41</v>
      </c>
      <c r="C143" t="s">
        <v>45</v>
      </c>
      <c r="D143" t="s">
        <v>67</v>
      </c>
      <c r="E143" s="2">
        <v>45748</v>
      </c>
      <c r="F143" s="3">
        <v>35</v>
      </c>
      <c r="G143">
        <v>12</v>
      </c>
      <c r="H143">
        <v>23</v>
      </c>
      <c r="I143">
        <v>12000</v>
      </c>
      <c r="J143">
        <v>18000</v>
      </c>
      <c r="K143">
        <f t="shared" si="20"/>
        <v>216000</v>
      </c>
      <c r="L143">
        <f t="shared" si="21"/>
        <v>144000</v>
      </c>
      <c r="M143">
        <f t="shared" si="22"/>
        <v>72000</v>
      </c>
      <c r="N143" s="4">
        <f t="shared" si="23"/>
        <v>0.33333333333333331</v>
      </c>
      <c r="O143" t="str">
        <f t="shared" si="24"/>
        <v>Slow Moving</v>
      </c>
      <c r="P143" t="str">
        <f t="shared" si="25"/>
        <v/>
      </c>
      <c r="Q143" t="str">
        <f t="shared" si="26"/>
        <v/>
      </c>
      <c r="S143">
        <f t="shared" si="27"/>
        <v>29</v>
      </c>
      <c r="T143" t="str">
        <f t="shared" si="28"/>
        <v>0-30 Days</v>
      </c>
      <c r="U143">
        <f t="shared" si="29"/>
        <v>276000</v>
      </c>
      <c r="V143">
        <f>tbl_inventory[[#This Row],[Units_Sold]]*tbl_inventory[[#This Row],[Revenue]]</f>
        <v>2592000</v>
      </c>
    </row>
    <row r="144" spans="1:22" x14ac:dyDescent="0.25">
      <c r="A144" s="2" t="s">
        <v>15</v>
      </c>
      <c r="B144" t="s">
        <v>41</v>
      </c>
      <c r="C144" t="s">
        <v>45</v>
      </c>
      <c r="D144" t="s">
        <v>67</v>
      </c>
      <c r="E144" s="2">
        <v>45778</v>
      </c>
      <c r="F144" s="3">
        <v>18</v>
      </c>
      <c r="G144">
        <v>2</v>
      </c>
      <c r="H144">
        <v>16</v>
      </c>
      <c r="I144">
        <v>12000</v>
      </c>
      <c r="J144">
        <v>18000</v>
      </c>
      <c r="K144">
        <f t="shared" si="20"/>
        <v>36000</v>
      </c>
      <c r="L144">
        <f t="shared" si="21"/>
        <v>24000</v>
      </c>
      <c r="M144">
        <f t="shared" si="22"/>
        <v>12000</v>
      </c>
      <c r="N144" s="4">
        <f t="shared" si="23"/>
        <v>0.33333333333333331</v>
      </c>
      <c r="O144" t="str">
        <f t="shared" si="24"/>
        <v>Slow Moving</v>
      </c>
      <c r="P144" t="str">
        <f t="shared" si="25"/>
        <v/>
      </c>
      <c r="Q144" t="str">
        <f t="shared" si="26"/>
        <v/>
      </c>
      <c r="S144">
        <f t="shared" si="27"/>
        <v>17</v>
      </c>
      <c r="T144" t="str">
        <f t="shared" si="28"/>
        <v>0-30 Days</v>
      </c>
      <c r="U144">
        <f t="shared" si="29"/>
        <v>192000</v>
      </c>
      <c r="V144">
        <f>tbl_inventory[[#This Row],[Units_Sold]]*tbl_inventory[[#This Row],[Revenue]]</f>
        <v>72000</v>
      </c>
    </row>
    <row r="145" spans="1:22" x14ac:dyDescent="0.25">
      <c r="A145" s="2" t="s">
        <v>15</v>
      </c>
      <c r="B145" t="s">
        <v>41</v>
      </c>
      <c r="C145" t="s">
        <v>45</v>
      </c>
      <c r="D145" t="s">
        <v>67</v>
      </c>
      <c r="E145" s="2">
        <v>45809</v>
      </c>
      <c r="F145" s="3">
        <v>20</v>
      </c>
      <c r="G145">
        <v>12</v>
      </c>
      <c r="H145">
        <v>8</v>
      </c>
      <c r="I145">
        <v>12000</v>
      </c>
      <c r="J145">
        <v>18000</v>
      </c>
      <c r="K145">
        <f t="shared" si="20"/>
        <v>216000</v>
      </c>
      <c r="L145">
        <f t="shared" si="21"/>
        <v>144000</v>
      </c>
      <c r="M145">
        <f t="shared" si="22"/>
        <v>72000</v>
      </c>
      <c r="N145" s="4">
        <f t="shared" si="23"/>
        <v>0.33333333333333331</v>
      </c>
      <c r="O145" t="str">
        <f t="shared" si="24"/>
        <v>Slow Moving</v>
      </c>
      <c r="P145" t="str">
        <f t="shared" si="25"/>
        <v/>
      </c>
      <c r="Q145" t="str">
        <f t="shared" si="26"/>
        <v/>
      </c>
      <c r="S145">
        <f t="shared" si="27"/>
        <v>14</v>
      </c>
      <c r="T145" t="str">
        <f t="shared" si="28"/>
        <v>0-30 Days</v>
      </c>
      <c r="U145">
        <f t="shared" si="29"/>
        <v>96000</v>
      </c>
      <c r="V145">
        <f>tbl_inventory[[#This Row],[Units_Sold]]*tbl_inventory[[#This Row],[Revenue]]</f>
        <v>2592000</v>
      </c>
    </row>
    <row r="146" spans="1:22" x14ac:dyDescent="0.25">
      <c r="A146" s="2" t="s">
        <v>16</v>
      </c>
      <c r="B146" t="s">
        <v>51</v>
      </c>
      <c r="C146" t="s">
        <v>45</v>
      </c>
      <c r="D146" t="s">
        <v>64</v>
      </c>
      <c r="E146" s="2">
        <v>45658</v>
      </c>
      <c r="F146" s="3">
        <v>14</v>
      </c>
      <c r="G146">
        <v>2</v>
      </c>
      <c r="H146">
        <v>12</v>
      </c>
      <c r="I146">
        <v>2000</v>
      </c>
      <c r="J146">
        <v>3500</v>
      </c>
      <c r="K146">
        <f t="shared" si="20"/>
        <v>7000</v>
      </c>
      <c r="L146">
        <f t="shared" si="21"/>
        <v>4000</v>
      </c>
      <c r="M146">
        <f t="shared" si="22"/>
        <v>3000</v>
      </c>
      <c r="N146" s="4">
        <f t="shared" si="23"/>
        <v>0.42857142857142855</v>
      </c>
      <c r="O146" t="str">
        <f t="shared" si="24"/>
        <v>Slow Moving</v>
      </c>
      <c r="P146" t="str">
        <f t="shared" si="25"/>
        <v/>
      </c>
      <c r="Q146" t="str">
        <f t="shared" si="26"/>
        <v/>
      </c>
      <c r="S146">
        <f t="shared" si="27"/>
        <v>13</v>
      </c>
      <c r="T146" t="str">
        <f t="shared" si="28"/>
        <v>0-30 Days</v>
      </c>
      <c r="U146">
        <f t="shared" si="29"/>
        <v>24000</v>
      </c>
      <c r="V146">
        <f>tbl_inventory[[#This Row],[Units_Sold]]*tbl_inventory[[#This Row],[Revenue]]</f>
        <v>14000</v>
      </c>
    </row>
    <row r="147" spans="1:22" x14ac:dyDescent="0.25">
      <c r="A147" s="2" t="s">
        <v>16</v>
      </c>
      <c r="B147" t="s">
        <v>51</v>
      </c>
      <c r="C147" t="s">
        <v>45</v>
      </c>
      <c r="D147" t="s">
        <v>64</v>
      </c>
      <c r="E147" s="2">
        <v>45689</v>
      </c>
      <c r="F147" s="3">
        <v>19</v>
      </c>
      <c r="G147">
        <v>9</v>
      </c>
      <c r="H147">
        <v>10</v>
      </c>
      <c r="I147">
        <v>2000</v>
      </c>
      <c r="J147">
        <v>3500</v>
      </c>
      <c r="K147">
        <f t="shared" si="20"/>
        <v>31500</v>
      </c>
      <c r="L147">
        <f t="shared" si="21"/>
        <v>18000</v>
      </c>
      <c r="M147">
        <f t="shared" si="22"/>
        <v>13500</v>
      </c>
      <c r="N147" s="4">
        <f t="shared" si="23"/>
        <v>0.42857142857142855</v>
      </c>
      <c r="O147" t="str">
        <f t="shared" si="24"/>
        <v>Slow Moving</v>
      </c>
      <c r="P147" t="str">
        <f t="shared" si="25"/>
        <v/>
      </c>
      <c r="Q147" t="str">
        <f t="shared" si="26"/>
        <v/>
      </c>
      <c r="S147">
        <f t="shared" si="27"/>
        <v>14.5</v>
      </c>
      <c r="T147" t="str">
        <f t="shared" si="28"/>
        <v>0-30 Days</v>
      </c>
      <c r="U147">
        <f t="shared" si="29"/>
        <v>20000</v>
      </c>
      <c r="V147">
        <f>tbl_inventory[[#This Row],[Units_Sold]]*tbl_inventory[[#This Row],[Revenue]]</f>
        <v>283500</v>
      </c>
    </row>
    <row r="148" spans="1:22" x14ac:dyDescent="0.25">
      <c r="A148" s="2" t="s">
        <v>16</v>
      </c>
      <c r="B148" t="s">
        <v>51</v>
      </c>
      <c r="C148" t="s">
        <v>45</v>
      </c>
      <c r="D148" t="s">
        <v>64</v>
      </c>
      <c r="E148" s="2">
        <v>45717</v>
      </c>
      <c r="F148" s="3">
        <v>43</v>
      </c>
      <c r="G148">
        <v>26</v>
      </c>
      <c r="H148">
        <v>17</v>
      </c>
      <c r="I148">
        <v>2000</v>
      </c>
      <c r="J148">
        <v>3500</v>
      </c>
      <c r="K148">
        <f t="shared" si="20"/>
        <v>91000</v>
      </c>
      <c r="L148">
        <f t="shared" si="21"/>
        <v>52000</v>
      </c>
      <c r="M148">
        <f t="shared" si="22"/>
        <v>39000</v>
      </c>
      <c r="N148" s="4">
        <f t="shared" si="23"/>
        <v>0.42857142857142855</v>
      </c>
      <c r="O148" t="str">
        <f t="shared" si="24"/>
        <v>Normal</v>
      </c>
      <c r="P148" t="str">
        <f t="shared" si="25"/>
        <v/>
      </c>
      <c r="Q148" t="str">
        <f t="shared" si="26"/>
        <v/>
      </c>
      <c r="S148">
        <f t="shared" si="27"/>
        <v>30</v>
      </c>
      <c r="T148" t="str">
        <f t="shared" si="28"/>
        <v>0-30 Days</v>
      </c>
      <c r="U148">
        <f t="shared" si="29"/>
        <v>34000</v>
      </c>
      <c r="V148">
        <f>tbl_inventory[[#This Row],[Units_Sold]]*tbl_inventory[[#This Row],[Revenue]]</f>
        <v>2366000</v>
      </c>
    </row>
    <row r="149" spans="1:22" x14ac:dyDescent="0.25">
      <c r="A149" s="2" t="s">
        <v>16</v>
      </c>
      <c r="B149" t="s">
        <v>51</v>
      </c>
      <c r="C149" t="s">
        <v>45</v>
      </c>
      <c r="D149" t="s">
        <v>64</v>
      </c>
      <c r="E149" s="2">
        <v>45748</v>
      </c>
      <c r="F149" s="3">
        <v>10</v>
      </c>
      <c r="G149">
        <v>7</v>
      </c>
      <c r="H149">
        <v>3</v>
      </c>
      <c r="I149">
        <v>2000</v>
      </c>
      <c r="J149">
        <v>3500</v>
      </c>
      <c r="K149">
        <f t="shared" si="20"/>
        <v>24500</v>
      </c>
      <c r="L149">
        <f t="shared" si="21"/>
        <v>14000</v>
      </c>
      <c r="M149">
        <f t="shared" si="22"/>
        <v>10500</v>
      </c>
      <c r="N149" s="4">
        <f t="shared" si="23"/>
        <v>0.42857142857142855</v>
      </c>
      <c r="O149" t="str">
        <f t="shared" si="24"/>
        <v>Slow Moving</v>
      </c>
      <c r="P149" t="str">
        <f t="shared" si="25"/>
        <v/>
      </c>
      <c r="Q149" t="str">
        <f t="shared" si="26"/>
        <v/>
      </c>
      <c r="S149">
        <f t="shared" si="27"/>
        <v>6.5</v>
      </c>
      <c r="T149" t="str">
        <f t="shared" si="28"/>
        <v>0-30 Days</v>
      </c>
      <c r="U149">
        <f t="shared" si="29"/>
        <v>6000</v>
      </c>
      <c r="V149">
        <f>tbl_inventory[[#This Row],[Units_Sold]]*tbl_inventory[[#This Row],[Revenue]]</f>
        <v>171500</v>
      </c>
    </row>
    <row r="150" spans="1:22" x14ac:dyDescent="0.25">
      <c r="A150" s="2" t="s">
        <v>16</v>
      </c>
      <c r="B150" t="s">
        <v>51</v>
      </c>
      <c r="C150" t="s">
        <v>45</v>
      </c>
      <c r="D150" t="s">
        <v>64</v>
      </c>
      <c r="E150" s="2">
        <v>45778</v>
      </c>
      <c r="F150" s="3">
        <v>37</v>
      </c>
      <c r="G150">
        <v>9</v>
      </c>
      <c r="H150">
        <v>28</v>
      </c>
      <c r="I150">
        <v>2000</v>
      </c>
      <c r="J150">
        <v>3500</v>
      </c>
      <c r="K150">
        <f t="shared" si="20"/>
        <v>31500</v>
      </c>
      <c r="L150">
        <f t="shared" si="21"/>
        <v>18000</v>
      </c>
      <c r="M150">
        <f t="shared" si="22"/>
        <v>13500</v>
      </c>
      <c r="N150" s="4">
        <f t="shared" si="23"/>
        <v>0.42857142857142855</v>
      </c>
      <c r="O150" t="str">
        <f t="shared" si="24"/>
        <v>Slow Moving</v>
      </c>
      <c r="P150" t="str">
        <f t="shared" si="25"/>
        <v/>
      </c>
      <c r="Q150" t="str">
        <f t="shared" si="26"/>
        <v/>
      </c>
      <c r="S150">
        <f t="shared" si="27"/>
        <v>32.5</v>
      </c>
      <c r="T150" t="str">
        <f t="shared" si="28"/>
        <v>0-30 Days</v>
      </c>
      <c r="U150">
        <f t="shared" si="29"/>
        <v>56000</v>
      </c>
      <c r="V150">
        <f>tbl_inventory[[#This Row],[Units_Sold]]*tbl_inventory[[#This Row],[Revenue]]</f>
        <v>283500</v>
      </c>
    </row>
    <row r="151" spans="1:22" x14ac:dyDescent="0.25">
      <c r="A151" s="2" t="s">
        <v>16</v>
      </c>
      <c r="B151" t="s">
        <v>51</v>
      </c>
      <c r="C151" t="s">
        <v>45</v>
      </c>
      <c r="D151" t="s">
        <v>64</v>
      </c>
      <c r="E151" s="2">
        <v>45809</v>
      </c>
      <c r="F151" s="3">
        <v>55</v>
      </c>
      <c r="G151">
        <v>5</v>
      </c>
      <c r="H151">
        <v>50</v>
      </c>
      <c r="I151">
        <v>2000</v>
      </c>
      <c r="J151">
        <v>3500</v>
      </c>
      <c r="K151">
        <f t="shared" si="20"/>
        <v>17500</v>
      </c>
      <c r="L151">
        <f t="shared" si="21"/>
        <v>10000</v>
      </c>
      <c r="M151">
        <f t="shared" si="22"/>
        <v>7500</v>
      </c>
      <c r="N151" s="4">
        <f t="shared" si="23"/>
        <v>0.42857142857142855</v>
      </c>
      <c r="O151" t="str">
        <f t="shared" si="24"/>
        <v>Slow Moving</v>
      </c>
      <c r="P151" t="str">
        <f t="shared" si="25"/>
        <v/>
      </c>
      <c r="Q151" t="str">
        <f t="shared" si="26"/>
        <v/>
      </c>
      <c r="S151">
        <f t="shared" si="27"/>
        <v>52.5</v>
      </c>
      <c r="T151" t="str">
        <f t="shared" si="28"/>
        <v>0-30 Days</v>
      </c>
      <c r="U151">
        <f t="shared" si="29"/>
        <v>100000</v>
      </c>
      <c r="V151">
        <f>tbl_inventory[[#This Row],[Units_Sold]]*tbl_inventory[[#This Row],[Revenue]]</f>
        <v>87500</v>
      </c>
    </row>
    <row r="152" spans="1:22" x14ac:dyDescent="0.25">
      <c r="A152" s="2" t="s">
        <v>16</v>
      </c>
      <c r="B152" t="s">
        <v>51</v>
      </c>
      <c r="C152" t="s">
        <v>45</v>
      </c>
      <c r="D152" t="s">
        <v>65</v>
      </c>
      <c r="E152" s="2">
        <v>45658</v>
      </c>
      <c r="F152" s="3">
        <v>16</v>
      </c>
      <c r="G152">
        <v>2</v>
      </c>
      <c r="H152">
        <v>14</v>
      </c>
      <c r="I152">
        <v>2000</v>
      </c>
      <c r="J152">
        <v>3500</v>
      </c>
      <c r="K152">
        <f t="shared" si="20"/>
        <v>7000</v>
      </c>
      <c r="L152">
        <f t="shared" si="21"/>
        <v>4000</v>
      </c>
      <c r="M152">
        <f t="shared" si="22"/>
        <v>3000</v>
      </c>
      <c r="N152" s="4">
        <f t="shared" si="23"/>
        <v>0.42857142857142855</v>
      </c>
      <c r="O152" t="str">
        <f t="shared" si="24"/>
        <v>Slow Moving</v>
      </c>
      <c r="P152" t="str">
        <f t="shared" si="25"/>
        <v/>
      </c>
      <c r="Q152" t="str">
        <f t="shared" si="26"/>
        <v/>
      </c>
      <c r="S152">
        <f t="shared" si="27"/>
        <v>15</v>
      </c>
      <c r="T152" t="str">
        <f t="shared" si="28"/>
        <v>0-30 Days</v>
      </c>
      <c r="U152">
        <f t="shared" si="29"/>
        <v>28000</v>
      </c>
      <c r="V152">
        <f>tbl_inventory[[#This Row],[Units_Sold]]*tbl_inventory[[#This Row],[Revenue]]</f>
        <v>14000</v>
      </c>
    </row>
    <row r="153" spans="1:22" x14ac:dyDescent="0.25">
      <c r="A153" s="2" t="s">
        <v>16</v>
      </c>
      <c r="B153" t="s">
        <v>51</v>
      </c>
      <c r="C153" t="s">
        <v>45</v>
      </c>
      <c r="D153" t="s">
        <v>65</v>
      </c>
      <c r="E153" s="2">
        <v>45689</v>
      </c>
      <c r="F153" s="3">
        <v>11</v>
      </c>
      <c r="G153">
        <v>7</v>
      </c>
      <c r="H153">
        <v>4</v>
      </c>
      <c r="I153">
        <v>2000</v>
      </c>
      <c r="J153">
        <v>3500</v>
      </c>
      <c r="K153">
        <f t="shared" si="20"/>
        <v>24500</v>
      </c>
      <c r="L153">
        <f t="shared" si="21"/>
        <v>14000</v>
      </c>
      <c r="M153">
        <f t="shared" si="22"/>
        <v>10500</v>
      </c>
      <c r="N153" s="4">
        <f t="shared" si="23"/>
        <v>0.42857142857142855</v>
      </c>
      <c r="O153" t="str">
        <f t="shared" si="24"/>
        <v>Slow Moving</v>
      </c>
      <c r="P153" t="str">
        <f t="shared" si="25"/>
        <v/>
      </c>
      <c r="Q153" t="str">
        <f t="shared" si="26"/>
        <v/>
      </c>
      <c r="S153">
        <f t="shared" si="27"/>
        <v>7.5</v>
      </c>
      <c r="T153" t="str">
        <f t="shared" si="28"/>
        <v>0-30 Days</v>
      </c>
      <c r="U153">
        <f t="shared" si="29"/>
        <v>8000</v>
      </c>
      <c r="V153">
        <f>tbl_inventory[[#This Row],[Units_Sold]]*tbl_inventory[[#This Row],[Revenue]]</f>
        <v>171500</v>
      </c>
    </row>
    <row r="154" spans="1:22" x14ac:dyDescent="0.25">
      <c r="A154" s="2" t="s">
        <v>16</v>
      </c>
      <c r="B154" t="s">
        <v>51</v>
      </c>
      <c r="C154" t="s">
        <v>45</v>
      </c>
      <c r="D154" t="s">
        <v>65</v>
      </c>
      <c r="E154" s="2">
        <v>45717</v>
      </c>
      <c r="F154" s="3">
        <v>45</v>
      </c>
      <c r="G154">
        <v>43</v>
      </c>
      <c r="H154">
        <v>2</v>
      </c>
      <c r="I154">
        <v>2000</v>
      </c>
      <c r="J154">
        <v>3500</v>
      </c>
      <c r="K154">
        <f t="shared" si="20"/>
        <v>150500</v>
      </c>
      <c r="L154">
        <f t="shared" si="21"/>
        <v>86000</v>
      </c>
      <c r="M154">
        <f t="shared" si="22"/>
        <v>64500</v>
      </c>
      <c r="N154" s="4">
        <f t="shared" si="23"/>
        <v>0.42857142857142855</v>
      </c>
      <c r="O154" t="str">
        <f t="shared" si="24"/>
        <v>Normal</v>
      </c>
      <c r="P154" t="str">
        <f t="shared" si="25"/>
        <v/>
      </c>
      <c r="Q154" t="str">
        <f t="shared" si="26"/>
        <v/>
      </c>
      <c r="S154">
        <f t="shared" si="27"/>
        <v>23.5</v>
      </c>
      <c r="T154" t="str">
        <f t="shared" si="28"/>
        <v>0-30 Days</v>
      </c>
      <c r="U154">
        <f t="shared" si="29"/>
        <v>4000</v>
      </c>
      <c r="V154">
        <f>tbl_inventory[[#This Row],[Units_Sold]]*tbl_inventory[[#This Row],[Revenue]]</f>
        <v>6471500</v>
      </c>
    </row>
    <row r="155" spans="1:22" x14ac:dyDescent="0.25">
      <c r="A155" s="2" t="s">
        <v>16</v>
      </c>
      <c r="B155" t="s">
        <v>51</v>
      </c>
      <c r="C155" t="s">
        <v>45</v>
      </c>
      <c r="D155" t="s">
        <v>65</v>
      </c>
      <c r="E155" s="2">
        <v>45748</v>
      </c>
      <c r="F155" s="3">
        <v>46</v>
      </c>
      <c r="G155">
        <v>20</v>
      </c>
      <c r="H155">
        <v>26</v>
      </c>
      <c r="I155">
        <v>2000</v>
      </c>
      <c r="J155">
        <v>3500</v>
      </c>
      <c r="K155">
        <f t="shared" si="20"/>
        <v>70000</v>
      </c>
      <c r="L155">
        <f t="shared" si="21"/>
        <v>40000</v>
      </c>
      <c r="M155">
        <f t="shared" si="22"/>
        <v>30000</v>
      </c>
      <c r="N155" s="4">
        <f t="shared" si="23"/>
        <v>0.42857142857142855</v>
      </c>
      <c r="O155" t="str">
        <f t="shared" si="24"/>
        <v>Normal</v>
      </c>
      <c r="P155" t="str">
        <f t="shared" si="25"/>
        <v/>
      </c>
      <c r="Q155" t="str">
        <f t="shared" si="26"/>
        <v/>
      </c>
      <c r="S155">
        <f t="shared" si="27"/>
        <v>36</v>
      </c>
      <c r="T155" t="str">
        <f t="shared" si="28"/>
        <v>0-30 Days</v>
      </c>
      <c r="U155">
        <f t="shared" si="29"/>
        <v>52000</v>
      </c>
      <c r="V155">
        <f>tbl_inventory[[#This Row],[Units_Sold]]*tbl_inventory[[#This Row],[Revenue]]</f>
        <v>1400000</v>
      </c>
    </row>
    <row r="156" spans="1:22" x14ac:dyDescent="0.25">
      <c r="A156" s="2" t="s">
        <v>16</v>
      </c>
      <c r="B156" t="s">
        <v>51</v>
      </c>
      <c r="C156" t="s">
        <v>45</v>
      </c>
      <c r="D156" t="s">
        <v>65</v>
      </c>
      <c r="E156" s="2">
        <v>45778</v>
      </c>
      <c r="F156" s="3">
        <v>28</v>
      </c>
      <c r="G156">
        <v>20</v>
      </c>
      <c r="H156">
        <v>8</v>
      </c>
      <c r="I156">
        <v>2000</v>
      </c>
      <c r="J156">
        <v>3500</v>
      </c>
      <c r="K156">
        <f t="shared" si="20"/>
        <v>70000</v>
      </c>
      <c r="L156">
        <f t="shared" si="21"/>
        <v>40000</v>
      </c>
      <c r="M156">
        <f t="shared" si="22"/>
        <v>30000</v>
      </c>
      <c r="N156" s="4">
        <f t="shared" si="23"/>
        <v>0.42857142857142855</v>
      </c>
      <c r="O156" t="str">
        <f t="shared" si="24"/>
        <v>Normal</v>
      </c>
      <c r="P156" t="str">
        <f t="shared" si="25"/>
        <v/>
      </c>
      <c r="Q156" t="str">
        <f t="shared" si="26"/>
        <v/>
      </c>
      <c r="S156">
        <f t="shared" si="27"/>
        <v>18</v>
      </c>
      <c r="T156" t="str">
        <f t="shared" si="28"/>
        <v>0-30 Days</v>
      </c>
      <c r="U156">
        <f t="shared" si="29"/>
        <v>16000</v>
      </c>
      <c r="V156">
        <f>tbl_inventory[[#This Row],[Units_Sold]]*tbl_inventory[[#This Row],[Revenue]]</f>
        <v>1400000</v>
      </c>
    </row>
    <row r="157" spans="1:22" x14ac:dyDescent="0.25">
      <c r="A157" s="2" t="s">
        <v>16</v>
      </c>
      <c r="B157" t="s">
        <v>51</v>
      </c>
      <c r="C157" t="s">
        <v>45</v>
      </c>
      <c r="D157" t="s">
        <v>65</v>
      </c>
      <c r="E157" s="2">
        <v>45809</v>
      </c>
      <c r="F157" s="3">
        <v>41</v>
      </c>
      <c r="G157">
        <v>18</v>
      </c>
      <c r="H157">
        <v>23</v>
      </c>
      <c r="I157">
        <v>2000</v>
      </c>
      <c r="J157">
        <v>3500</v>
      </c>
      <c r="K157">
        <f t="shared" si="20"/>
        <v>63000</v>
      </c>
      <c r="L157">
        <f t="shared" si="21"/>
        <v>36000</v>
      </c>
      <c r="M157">
        <f t="shared" si="22"/>
        <v>27000</v>
      </c>
      <c r="N157" s="4">
        <f t="shared" si="23"/>
        <v>0.42857142857142855</v>
      </c>
      <c r="O157" t="str">
        <f t="shared" si="24"/>
        <v>Slow Moving</v>
      </c>
      <c r="P157" t="str">
        <f t="shared" si="25"/>
        <v/>
      </c>
      <c r="Q157" t="str">
        <f t="shared" si="26"/>
        <v/>
      </c>
      <c r="S157">
        <f t="shared" si="27"/>
        <v>32</v>
      </c>
      <c r="T157" t="str">
        <f t="shared" si="28"/>
        <v>0-30 Days</v>
      </c>
      <c r="U157">
        <f t="shared" si="29"/>
        <v>46000</v>
      </c>
      <c r="V157">
        <f>tbl_inventory[[#This Row],[Units_Sold]]*tbl_inventory[[#This Row],[Revenue]]</f>
        <v>1134000</v>
      </c>
    </row>
    <row r="158" spans="1:22" x14ac:dyDescent="0.25">
      <c r="A158" s="2" t="s">
        <v>16</v>
      </c>
      <c r="B158" t="s">
        <v>51</v>
      </c>
      <c r="C158" t="s">
        <v>45</v>
      </c>
      <c r="D158" t="s">
        <v>66</v>
      </c>
      <c r="E158" s="2">
        <v>45658</v>
      </c>
      <c r="F158" s="3">
        <v>58</v>
      </c>
      <c r="G158">
        <v>15</v>
      </c>
      <c r="H158">
        <v>43</v>
      </c>
      <c r="I158">
        <v>2000</v>
      </c>
      <c r="J158">
        <v>3500</v>
      </c>
      <c r="K158">
        <f t="shared" si="20"/>
        <v>52500</v>
      </c>
      <c r="L158">
        <f t="shared" si="21"/>
        <v>30000</v>
      </c>
      <c r="M158">
        <f t="shared" si="22"/>
        <v>22500</v>
      </c>
      <c r="N158" s="4">
        <f t="shared" si="23"/>
        <v>0.42857142857142855</v>
      </c>
      <c r="O158" t="str">
        <f t="shared" si="24"/>
        <v>Slow Moving</v>
      </c>
      <c r="P158" t="str">
        <f t="shared" si="25"/>
        <v/>
      </c>
      <c r="Q158" t="str">
        <f t="shared" si="26"/>
        <v/>
      </c>
      <c r="S158">
        <f t="shared" si="27"/>
        <v>50.5</v>
      </c>
      <c r="T158" t="str">
        <f t="shared" si="28"/>
        <v>0-30 Days</v>
      </c>
      <c r="U158">
        <f t="shared" si="29"/>
        <v>86000</v>
      </c>
      <c r="V158">
        <f>tbl_inventory[[#This Row],[Units_Sold]]*tbl_inventory[[#This Row],[Revenue]]</f>
        <v>787500</v>
      </c>
    </row>
    <row r="159" spans="1:22" x14ac:dyDescent="0.25">
      <c r="A159" s="2" t="s">
        <v>16</v>
      </c>
      <c r="B159" t="s">
        <v>51</v>
      </c>
      <c r="C159" t="s">
        <v>45</v>
      </c>
      <c r="D159" t="s">
        <v>66</v>
      </c>
      <c r="E159" s="2">
        <v>45689</v>
      </c>
      <c r="F159" s="3">
        <v>33</v>
      </c>
      <c r="G159">
        <v>17</v>
      </c>
      <c r="H159">
        <v>16</v>
      </c>
      <c r="I159">
        <v>2000</v>
      </c>
      <c r="J159">
        <v>3500</v>
      </c>
      <c r="K159">
        <f t="shared" si="20"/>
        <v>59500</v>
      </c>
      <c r="L159">
        <f t="shared" si="21"/>
        <v>34000</v>
      </c>
      <c r="M159">
        <f t="shared" si="22"/>
        <v>25500</v>
      </c>
      <c r="N159" s="4">
        <f t="shared" si="23"/>
        <v>0.42857142857142855</v>
      </c>
      <c r="O159" t="str">
        <f t="shared" si="24"/>
        <v>Slow Moving</v>
      </c>
      <c r="P159" t="str">
        <f t="shared" si="25"/>
        <v/>
      </c>
      <c r="Q159" t="str">
        <f t="shared" si="26"/>
        <v/>
      </c>
      <c r="S159">
        <f t="shared" si="27"/>
        <v>24.5</v>
      </c>
      <c r="T159" t="str">
        <f t="shared" si="28"/>
        <v>0-30 Days</v>
      </c>
      <c r="U159">
        <f t="shared" si="29"/>
        <v>32000</v>
      </c>
      <c r="V159">
        <f>tbl_inventory[[#This Row],[Units_Sold]]*tbl_inventory[[#This Row],[Revenue]]</f>
        <v>1011500</v>
      </c>
    </row>
    <row r="160" spans="1:22" x14ac:dyDescent="0.25">
      <c r="A160" s="2" t="s">
        <v>16</v>
      </c>
      <c r="B160" t="s">
        <v>51</v>
      </c>
      <c r="C160" t="s">
        <v>45</v>
      </c>
      <c r="D160" t="s">
        <v>66</v>
      </c>
      <c r="E160" s="2">
        <v>45717</v>
      </c>
      <c r="F160" s="3">
        <v>34</v>
      </c>
      <c r="G160">
        <v>16</v>
      </c>
      <c r="H160">
        <v>18</v>
      </c>
      <c r="I160">
        <v>2000</v>
      </c>
      <c r="J160">
        <v>3500</v>
      </c>
      <c r="K160">
        <f t="shared" si="20"/>
        <v>56000</v>
      </c>
      <c r="L160">
        <f t="shared" si="21"/>
        <v>32000</v>
      </c>
      <c r="M160">
        <f t="shared" si="22"/>
        <v>24000</v>
      </c>
      <c r="N160" s="4">
        <f t="shared" si="23"/>
        <v>0.42857142857142855</v>
      </c>
      <c r="O160" t="str">
        <f t="shared" si="24"/>
        <v>Slow Moving</v>
      </c>
      <c r="P160" t="str">
        <f t="shared" si="25"/>
        <v/>
      </c>
      <c r="Q160" t="str">
        <f t="shared" si="26"/>
        <v/>
      </c>
      <c r="S160">
        <f t="shared" si="27"/>
        <v>26</v>
      </c>
      <c r="T160" t="str">
        <f t="shared" si="28"/>
        <v>0-30 Days</v>
      </c>
      <c r="U160">
        <f t="shared" si="29"/>
        <v>36000</v>
      </c>
      <c r="V160">
        <f>tbl_inventory[[#This Row],[Units_Sold]]*tbl_inventory[[#This Row],[Revenue]]</f>
        <v>896000</v>
      </c>
    </row>
    <row r="161" spans="1:22" x14ac:dyDescent="0.25">
      <c r="A161" s="2" t="s">
        <v>16</v>
      </c>
      <c r="B161" t="s">
        <v>51</v>
      </c>
      <c r="C161" t="s">
        <v>45</v>
      </c>
      <c r="D161" t="s">
        <v>66</v>
      </c>
      <c r="E161" s="2">
        <v>45748</v>
      </c>
      <c r="F161" s="3">
        <v>21</v>
      </c>
      <c r="G161">
        <v>4</v>
      </c>
      <c r="H161">
        <v>17</v>
      </c>
      <c r="I161">
        <v>2000</v>
      </c>
      <c r="J161">
        <v>3500</v>
      </c>
      <c r="K161">
        <f t="shared" si="20"/>
        <v>14000</v>
      </c>
      <c r="L161">
        <f t="shared" si="21"/>
        <v>8000</v>
      </c>
      <c r="M161">
        <f t="shared" si="22"/>
        <v>6000</v>
      </c>
      <c r="N161" s="4">
        <f t="shared" si="23"/>
        <v>0.42857142857142855</v>
      </c>
      <c r="O161" t="str">
        <f t="shared" si="24"/>
        <v>Slow Moving</v>
      </c>
      <c r="P161" t="str">
        <f t="shared" si="25"/>
        <v/>
      </c>
      <c r="Q161" t="str">
        <f t="shared" si="26"/>
        <v/>
      </c>
      <c r="S161">
        <f t="shared" si="27"/>
        <v>19</v>
      </c>
      <c r="T161" t="str">
        <f t="shared" si="28"/>
        <v>0-30 Days</v>
      </c>
      <c r="U161">
        <f t="shared" si="29"/>
        <v>34000</v>
      </c>
      <c r="V161">
        <f>tbl_inventory[[#This Row],[Units_Sold]]*tbl_inventory[[#This Row],[Revenue]]</f>
        <v>56000</v>
      </c>
    </row>
    <row r="162" spans="1:22" x14ac:dyDescent="0.25">
      <c r="A162" s="2" t="s">
        <v>16</v>
      </c>
      <c r="B162" t="s">
        <v>51</v>
      </c>
      <c r="C162" t="s">
        <v>45</v>
      </c>
      <c r="D162" t="s">
        <v>66</v>
      </c>
      <c r="E162" s="2">
        <v>45778</v>
      </c>
      <c r="F162" s="3">
        <v>44</v>
      </c>
      <c r="G162">
        <v>0</v>
      </c>
      <c r="H162">
        <v>44</v>
      </c>
      <c r="I162">
        <v>2000</v>
      </c>
      <c r="J162">
        <v>3500</v>
      </c>
      <c r="K162">
        <f t="shared" si="20"/>
        <v>0</v>
      </c>
      <c r="L162">
        <f t="shared" si="21"/>
        <v>0</v>
      </c>
      <c r="M162">
        <f t="shared" si="22"/>
        <v>0</v>
      </c>
      <c r="N162" s="4">
        <f t="shared" si="23"/>
        <v>0</v>
      </c>
      <c r="O162" t="str">
        <f t="shared" si="24"/>
        <v>Slow Moving</v>
      </c>
      <c r="P162" t="str">
        <f t="shared" si="25"/>
        <v>Dead Stock</v>
      </c>
      <c r="Q162" t="str">
        <f t="shared" si="26"/>
        <v>Low Margin</v>
      </c>
      <c r="S162">
        <f t="shared" si="27"/>
        <v>44</v>
      </c>
      <c r="T162" t="str">
        <f t="shared" si="28"/>
        <v>0-30 Days</v>
      </c>
      <c r="U162">
        <f t="shared" si="29"/>
        <v>88000</v>
      </c>
      <c r="V162">
        <f>tbl_inventory[[#This Row],[Units_Sold]]*tbl_inventory[[#This Row],[Revenue]]</f>
        <v>0</v>
      </c>
    </row>
    <row r="163" spans="1:22" x14ac:dyDescent="0.25">
      <c r="A163" s="2" t="s">
        <v>16</v>
      </c>
      <c r="B163" t="s">
        <v>51</v>
      </c>
      <c r="C163" t="s">
        <v>45</v>
      </c>
      <c r="D163" t="s">
        <v>66</v>
      </c>
      <c r="E163" s="2">
        <v>45809</v>
      </c>
      <c r="F163" s="3">
        <v>51</v>
      </c>
      <c r="G163">
        <v>32</v>
      </c>
      <c r="H163">
        <v>19</v>
      </c>
      <c r="I163">
        <v>2000</v>
      </c>
      <c r="J163">
        <v>3500</v>
      </c>
      <c r="K163">
        <f t="shared" si="20"/>
        <v>112000</v>
      </c>
      <c r="L163">
        <f t="shared" si="21"/>
        <v>64000</v>
      </c>
      <c r="M163">
        <f t="shared" si="22"/>
        <v>48000</v>
      </c>
      <c r="N163" s="4">
        <f t="shared" si="23"/>
        <v>0.42857142857142855</v>
      </c>
      <c r="O163" t="str">
        <f t="shared" si="24"/>
        <v>Normal</v>
      </c>
      <c r="P163" t="str">
        <f t="shared" si="25"/>
        <v/>
      </c>
      <c r="Q163" t="str">
        <f t="shared" si="26"/>
        <v/>
      </c>
      <c r="S163">
        <f t="shared" si="27"/>
        <v>35</v>
      </c>
      <c r="T163" t="str">
        <f t="shared" si="28"/>
        <v>0-30 Days</v>
      </c>
      <c r="U163">
        <f t="shared" si="29"/>
        <v>38000</v>
      </c>
      <c r="V163">
        <f>tbl_inventory[[#This Row],[Units_Sold]]*tbl_inventory[[#This Row],[Revenue]]</f>
        <v>3584000</v>
      </c>
    </row>
    <row r="164" spans="1:22" x14ac:dyDescent="0.25">
      <c r="A164" s="2" t="s">
        <v>16</v>
      </c>
      <c r="B164" t="s">
        <v>51</v>
      </c>
      <c r="C164" t="s">
        <v>45</v>
      </c>
      <c r="D164" t="s">
        <v>67</v>
      </c>
      <c r="E164" s="2">
        <v>45658</v>
      </c>
      <c r="F164" s="3">
        <v>22</v>
      </c>
      <c r="G164">
        <v>20</v>
      </c>
      <c r="H164">
        <v>2</v>
      </c>
      <c r="I164">
        <v>2000</v>
      </c>
      <c r="J164">
        <v>3500</v>
      </c>
      <c r="K164">
        <f t="shared" si="20"/>
        <v>70000</v>
      </c>
      <c r="L164">
        <f t="shared" si="21"/>
        <v>40000</v>
      </c>
      <c r="M164">
        <f t="shared" si="22"/>
        <v>30000</v>
      </c>
      <c r="N164" s="4">
        <f t="shared" si="23"/>
        <v>0.42857142857142855</v>
      </c>
      <c r="O164" t="str">
        <f t="shared" si="24"/>
        <v>Normal</v>
      </c>
      <c r="P164" t="str">
        <f t="shared" si="25"/>
        <v/>
      </c>
      <c r="Q164" t="str">
        <f t="shared" si="26"/>
        <v/>
      </c>
      <c r="S164">
        <f t="shared" si="27"/>
        <v>12</v>
      </c>
      <c r="T164" t="str">
        <f t="shared" si="28"/>
        <v>0-30 Days</v>
      </c>
      <c r="U164">
        <f t="shared" si="29"/>
        <v>4000</v>
      </c>
      <c r="V164">
        <f>tbl_inventory[[#This Row],[Units_Sold]]*tbl_inventory[[#This Row],[Revenue]]</f>
        <v>1400000</v>
      </c>
    </row>
    <row r="165" spans="1:22" x14ac:dyDescent="0.25">
      <c r="A165" s="2" t="s">
        <v>16</v>
      </c>
      <c r="B165" t="s">
        <v>51</v>
      </c>
      <c r="C165" t="s">
        <v>45</v>
      </c>
      <c r="D165" t="s">
        <v>67</v>
      </c>
      <c r="E165" s="2">
        <v>45689</v>
      </c>
      <c r="F165" s="3">
        <v>58</v>
      </c>
      <c r="G165">
        <v>41</v>
      </c>
      <c r="H165">
        <v>17</v>
      </c>
      <c r="I165">
        <v>2000</v>
      </c>
      <c r="J165">
        <v>3500</v>
      </c>
      <c r="K165">
        <f t="shared" si="20"/>
        <v>143500</v>
      </c>
      <c r="L165">
        <f t="shared" si="21"/>
        <v>82000</v>
      </c>
      <c r="M165">
        <f t="shared" si="22"/>
        <v>61500</v>
      </c>
      <c r="N165" s="4">
        <f t="shared" si="23"/>
        <v>0.42857142857142855</v>
      </c>
      <c r="O165" t="str">
        <f t="shared" si="24"/>
        <v>Normal</v>
      </c>
      <c r="P165" t="str">
        <f t="shared" si="25"/>
        <v/>
      </c>
      <c r="Q165" t="str">
        <f t="shared" si="26"/>
        <v/>
      </c>
      <c r="S165">
        <f t="shared" si="27"/>
        <v>37.5</v>
      </c>
      <c r="T165" t="str">
        <f t="shared" si="28"/>
        <v>0-30 Days</v>
      </c>
      <c r="U165">
        <f t="shared" si="29"/>
        <v>34000</v>
      </c>
      <c r="V165">
        <f>tbl_inventory[[#This Row],[Units_Sold]]*tbl_inventory[[#This Row],[Revenue]]</f>
        <v>5883500</v>
      </c>
    </row>
    <row r="166" spans="1:22" x14ac:dyDescent="0.25">
      <c r="A166" s="2" t="s">
        <v>16</v>
      </c>
      <c r="B166" t="s">
        <v>51</v>
      </c>
      <c r="C166" t="s">
        <v>45</v>
      </c>
      <c r="D166" t="s">
        <v>67</v>
      </c>
      <c r="E166" s="2">
        <v>45717</v>
      </c>
      <c r="F166" s="3">
        <v>28</v>
      </c>
      <c r="G166">
        <v>15</v>
      </c>
      <c r="H166">
        <v>13</v>
      </c>
      <c r="I166">
        <v>2000</v>
      </c>
      <c r="J166">
        <v>3500</v>
      </c>
      <c r="K166">
        <f t="shared" si="20"/>
        <v>52500</v>
      </c>
      <c r="L166">
        <f t="shared" si="21"/>
        <v>30000</v>
      </c>
      <c r="M166">
        <f t="shared" si="22"/>
        <v>22500</v>
      </c>
      <c r="N166" s="4">
        <f t="shared" si="23"/>
        <v>0.42857142857142855</v>
      </c>
      <c r="O166" t="str">
        <f t="shared" si="24"/>
        <v>Slow Moving</v>
      </c>
      <c r="P166" t="str">
        <f t="shared" si="25"/>
        <v/>
      </c>
      <c r="Q166" t="str">
        <f t="shared" si="26"/>
        <v/>
      </c>
      <c r="S166">
        <f t="shared" si="27"/>
        <v>20.5</v>
      </c>
      <c r="T166" t="str">
        <f t="shared" si="28"/>
        <v>0-30 Days</v>
      </c>
      <c r="U166">
        <f t="shared" si="29"/>
        <v>26000</v>
      </c>
      <c r="V166">
        <f>tbl_inventory[[#This Row],[Units_Sold]]*tbl_inventory[[#This Row],[Revenue]]</f>
        <v>787500</v>
      </c>
    </row>
    <row r="167" spans="1:22" x14ac:dyDescent="0.25">
      <c r="A167" s="2" t="s">
        <v>16</v>
      </c>
      <c r="B167" t="s">
        <v>51</v>
      </c>
      <c r="C167" t="s">
        <v>45</v>
      </c>
      <c r="D167" t="s">
        <v>67</v>
      </c>
      <c r="E167" s="2">
        <v>45748</v>
      </c>
      <c r="F167" s="3">
        <v>25</v>
      </c>
      <c r="G167">
        <v>17</v>
      </c>
      <c r="H167">
        <v>8</v>
      </c>
      <c r="I167">
        <v>2000</v>
      </c>
      <c r="J167">
        <v>3500</v>
      </c>
      <c r="K167">
        <f t="shared" si="20"/>
        <v>59500</v>
      </c>
      <c r="L167">
        <f t="shared" si="21"/>
        <v>34000</v>
      </c>
      <c r="M167">
        <f t="shared" si="22"/>
        <v>25500</v>
      </c>
      <c r="N167" s="4">
        <f t="shared" si="23"/>
        <v>0.42857142857142855</v>
      </c>
      <c r="O167" t="str">
        <f t="shared" si="24"/>
        <v>Slow Moving</v>
      </c>
      <c r="P167" t="str">
        <f t="shared" si="25"/>
        <v/>
      </c>
      <c r="Q167" t="str">
        <f t="shared" si="26"/>
        <v/>
      </c>
      <c r="S167">
        <f t="shared" si="27"/>
        <v>16.5</v>
      </c>
      <c r="T167" t="str">
        <f t="shared" si="28"/>
        <v>0-30 Days</v>
      </c>
      <c r="U167">
        <f t="shared" si="29"/>
        <v>16000</v>
      </c>
      <c r="V167">
        <f>tbl_inventory[[#This Row],[Units_Sold]]*tbl_inventory[[#This Row],[Revenue]]</f>
        <v>1011500</v>
      </c>
    </row>
    <row r="168" spans="1:22" x14ac:dyDescent="0.25">
      <c r="A168" s="2" t="s">
        <v>16</v>
      </c>
      <c r="B168" t="s">
        <v>51</v>
      </c>
      <c r="C168" t="s">
        <v>45</v>
      </c>
      <c r="D168" t="s">
        <v>67</v>
      </c>
      <c r="E168" s="2">
        <v>45778</v>
      </c>
      <c r="F168" s="3">
        <v>20</v>
      </c>
      <c r="G168">
        <v>3</v>
      </c>
      <c r="H168">
        <v>17</v>
      </c>
      <c r="I168">
        <v>2000</v>
      </c>
      <c r="J168">
        <v>3500</v>
      </c>
      <c r="K168">
        <f t="shared" si="20"/>
        <v>10500</v>
      </c>
      <c r="L168">
        <f t="shared" si="21"/>
        <v>6000</v>
      </c>
      <c r="M168">
        <f t="shared" si="22"/>
        <v>4500</v>
      </c>
      <c r="N168" s="4">
        <f t="shared" si="23"/>
        <v>0.42857142857142855</v>
      </c>
      <c r="O168" t="str">
        <f t="shared" si="24"/>
        <v>Slow Moving</v>
      </c>
      <c r="P168" t="str">
        <f t="shared" si="25"/>
        <v/>
      </c>
      <c r="Q168" t="str">
        <f t="shared" si="26"/>
        <v/>
      </c>
      <c r="S168">
        <f t="shared" si="27"/>
        <v>18.5</v>
      </c>
      <c r="T168" t="str">
        <f t="shared" si="28"/>
        <v>0-30 Days</v>
      </c>
      <c r="U168">
        <f t="shared" si="29"/>
        <v>34000</v>
      </c>
      <c r="V168">
        <f>tbl_inventory[[#This Row],[Units_Sold]]*tbl_inventory[[#This Row],[Revenue]]</f>
        <v>31500</v>
      </c>
    </row>
    <row r="169" spans="1:22" x14ac:dyDescent="0.25">
      <c r="A169" s="2" t="s">
        <v>16</v>
      </c>
      <c r="B169" t="s">
        <v>51</v>
      </c>
      <c r="C169" t="s">
        <v>45</v>
      </c>
      <c r="D169" t="s">
        <v>67</v>
      </c>
      <c r="E169" s="2">
        <v>45809</v>
      </c>
      <c r="F169" s="3">
        <v>31</v>
      </c>
      <c r="G169">
        <v>0</v>
      </c>
      <c r="H169">
        <v>31</v>
      </c>
      <c r="I169">
        <v>2000</v>
      </c>
      <c r="J169">
        <v>3500</v>
      </c>
      <c r="K169">
        <f t="shared" si="20"/>
        <v>0</v>
      </c>
      <c r="L169">
        <f t="shared" si="21"/>
        <v>0</v>
      </c>
      <c r="M169">
        <f t="shared" si="22"/>
        <v>0</v>
      </c>
      <c r="N169" s="4">
        <f t="shared" si="23"/>
        <v>0</v>
      </c>
      <c r="O169" t="str">
        <f t="shared" si="24"/>
        <v>Slow Moving</v>
      </c>
      <c r="P169" t="str">
        <f t="shared" si="25"/>
        <v>Dead Stock</v>
      </c>
      <c r="Q169" t="str">
        <f t="shared" si="26"/>
        <v>Low Margin</v>
      </c>
      <c r="S169">
        <f t="shared" si="27"/>
        <v>31</v>
      </c>
      <c r="T169" t="str">
        <f t="shared" si="28"/>
        <v>0-30 Days</v>
      </c>
      <c r="U169">
        <f t="shared" si="29"/>
        <v>62000</v>
      </c>
      <c r="V169">
        <f>tbl_inventory[[#This Row],[Units_Sold]]*tbl_inventory[[#This Row],[Revenue]]</f>
        <v>0</v>
      </c>
    </row>
    <row r="170" spans="1:22" x14ac:dyDescent="0.25">
      <c r="A170" s="2" t="s">
        <v>17</v>
      </c>
      <c r="B170" t="s">
        <v>52</v>
      </c>
      <c r="C170" t="s">
        <v>45</v>
      </c>
      <c r="D170" t="s">
        <v>64</v>
      </c>
      <c r="E170" s="2">
        <v>45658</v>
      </c>
      <c r="F170" s="3">
        <v>38</v>
      </c>
      <c r="G170">
        <v>30</v>
      </c>
      <c r="H170">
        <v>8</v>
      </c>
      <c r="I170">
        <v>20000</v>
      </c>
      <c r="J170">
        <v>28000</v>
      </c>
      <c r="K170">
        <f t="shared" si="20"/>
        <v>840000</v>
      </c>
      <c r="L170">
        <f t="shared" si="21"/>
        <v>600000</v>
      </c>
      <c r="M170">
        <f t="shared" si="22"/>
        <v>240000</v>
      </c>
      <c r="N170" s="4">
        <f t="shared" si="23"/>
        <v>0.2857142857142857</v>
      </c>
      <c r="O170" t="str">
        <f t="shared" si="24"/>
        <v>Normal</v>
      </c>
      <c r="P170" t="str">
        <f t="shared" si="25"/>
        <v/>
      </c>
      <c r="Q170" t="str">
        <f t="shared" si="26"/>
        <v/>
      </c>
      <c r="S170">
        <f t="shared" si="27"/>
        <v>23</v>
      </c>
      <c r="T170" t="str">
        <f t="shared" si="28"/>
        <v>0-30 Days</v>
      </c>
      <c r="U170">
        <f t="shared" si="29"/>
        <v>160000</v>
      </c>
      <c r="V170">
        <f>tbl_inventory[[#This Row],[Units_Sold]]*tbl_inventory[[#This Row],[Revenue]]</f>
        <v>25200000</v>
      </c>
    </row>
    <row r="171" spans="1:22" x14ac:dyDescent="0.25">
      <c r="A171" s="2" t="s">
        <v>17</v>
      </c>
      <c r="B171" t="s">
        <v>52</v>
      </c>
      <c r="C171" t="s">
        <v>45</v>
      </c>
      <c r="D171" t="s">
        <v>64</v>
      </c>
      <c r="E171" s="2">
        <v>45689</v>
      </c>
      <c r="F171" s="3">
        <v>50</v>
      </c>
      <c r="G171">
        <v>28</v>
      </c>
      <c r="H171">
        <v>22</v>
      </c>
      <c r="I171">
        <v>20000</v>
      </c>
      <c r="J171">
        <v>28000</v>
      </c>
      <c r="K171">
        <f t="shared" si="20"/>
        <v>784000</v>
      </c>
      <c r="L171">
        <f t="shared" si="21"/>
        <v>560000</v>
      </c>
      <c r="M171">
        <f t="shared" si="22"/>
        <v>224000</v>
      </c>
      <c r="N171" s="4">
        <f t="shared" si="23"/>
        <v>0.2857142857142857</v>
      </c>
      <c r="O171" t="str">
        <f t="shared" si="24"/>
        <v>Normal</v>
      </c>
      <c r="P171" t="str">
        <f t="shared" si="25"/>
        <v/>
      </c>
      <c r="Q171" t="str">
        <f t="shared" si="26"/>
        <v/>
      </c>
      <c r="S171">
        <f t="shared" si="27"/>
        <v>36</v>
      </c>
      <c r="T171" t="str">
        <f t="shared" si="28"/>
        <v>0-30 Days</v>
      </c>
      <c r="U171">
        <f t="shared" si="29"/>
        <v>440000</v>
      </c>
      <c r="V171">
        <f>tbl_inventory[[#This Row],[Units_Sold]]*tbl_inventory[[#This Row],[Revenue]]</f>
        <v>21952000</v>
      </c>
    </row>
    <row r="172" spans="1:22" x14ac:dyDescent="0.25">
      <c r="A172" s="2" t="s">
        <v>17</v>
      </c>
      <c r="B172" t="s">
        <v>52</v>
      </c>
      <c r="C172" t="s">
        <v>45</v>
      </c>
      <c r="D172" t="s">
        <v>64</v>
      </c>
      <c r="E172" s="2">
        <v>45717</v>
      </c>
      <c r="F172" s="3">
        <v>60</v>
      </c>
      <c r="G172">
        <v>27</v>
      </c>
      <c r="H172">
        <v>33</v>
      </c>
      <c r="I172">
        <v>20000</v>
      </c>
      <c r="J172">
        <v>28000</v>
      </c>
      <c r="K172">
        <f t="shared" si="20"/>
        <v>756000</v>
      </c>
      <c r="L172">
        <f t="shared" si="21"/>
        <v>540000</v>
      </c>
      <c r="M172">
        <f t="shared" si="22"/>
        <v>216000</v>
      </c>
      <c r="N172" s="4">
        <f t="shared" si="23"/>
        <v>0.2857142857142857</v>
      </c>
      <c r="O172" t="str">
        <f t="shared" si="24"/>
        <v>Normal</v>
      </c>
      <c r="P172" t="str">
        <f t="shared" si="25"/>
        <v/>
      </c>
      <c r="Q172" t="str">
        <f t="shared" si="26"/>
        <v/>
      </c>
      <c r="S172">
        <f t="shared" si="27"/>
        <v>46.5</v>
      </c>
      <c r="T172" t="str">
        <f t="shared" si="28"/>
        <v>0-30 Days</v>
      </c>
      <c r="U172">
        <f t="shared" si="29"/>
        <v>660000</v>
      </c>
      <c r="V172">
        <f>tbl_inventory[[#This Row],[Units_Sold]]*tbl_inventory[[#This Row],[Revenue]]</f>
        <v>20412000</v>
      </c>
    </row>
    <row r="173" spans="1:22" x14ac:dyDescent="0.25">
      <c r="A173" s="2" t="s">
        <v>17</v>
      </c>
      <c r="B173" t="s">
        <v>52</v>
      </c>
      <c r="C173" t="s">
        <v>45</v>
      </c>
      <c r="D173" t="s">
        <v>64</v>
      </c>
      <c r="E173" s="2">
        <v>45748</v>
      </c>
      <c r="F173" s="3">
        <v>56</v>
      </c>
      <c r="G173">
        <v>46</v>
      </c>
      <c r="H173">
        <v>10</v>
      </c>
      <c r="I173">
        <v>20000</v>
      </c>
      <c r="J173">
        <v>28000</v>
      </c>
      <c r="K173">
        <f t="shared" si="20"/>
        <v>1288000</v>
      </c>
      <c r="L173">
        <f t="shared" si="21"/>
        <v>920000</v>
      </c>
      <c r="M173">
        <f t="shared" si="22"/>
        <v>368000</v>
      </c>
      <c r="N173" s="4">
        <f t="shared" si="23"/>
        <v>0.2857142857142857</v>
      </c>
      <c r="O173" t="str">
        <f t="shared" si="24"/>
        <v>Normal</v>
      </c>
      <c r="P173" t="str">
        <f t="shared" si="25"/>
        <v/>
      </c>
      <c r="Q173" t="str">
        <f t="shared" si="26"/>
        <v/>
      </c>
      <c r="S173">
        <f t="shared" si="27"/>
        <v>33</v>
      </c>
      <c r="T173" t="str">
        <f t="shared" si="28"/>
        <v>0-30 Days</v>
      </c>
      <c r="U173">
        <f t="shared" si="29"/>
        <v>200000</v>
      </c>
      <c r="V173">
        <f>tbl_inventory[[#This Row],[Units_Sold]]*tbl_inventory[[#This Row],[Revenue]]</f>
        <v>59248000</v>
      </c>
    </row>
    <row r="174" spans="1:22" x14ac:dyDescent="0.25">
      <c r="A174" s="2" t="s">
        <v>17</v>
      </c>
      <c r="B174" t="s">
        <v>52</v>
      </c>
      <c r="C174" t="s">
        <v>45</v>
      </c>
      <c r="D174" t="s">
        <v>64</v>
      </c>
      <c r="E174" s="2">
        <v>45778</v>
      </c>
      <c r="F174" s="3">
        <v>43</v>
      </c>
      <c r="G174">
        <v>10</v>
      </c>
      <c r="H174">
        <v>33</v>
      </c>
      <c r="I174">
        <v>20000</v>
      </c>
      <c r="J174">
        <v>28000</v>
      </c>
      <c r="K174">
        <f t="shared" si="20"/>
        <v>280000</v>
      </c>
      <c r="L174">
        <f t="shared" si="21"/>
        <v>200000</v>
      </c>
      <c r="M174">
        <f t="shared" si="22"/>
        <v>80000</v>
      </c>
      <c r="N174" s="4">
        <f t="shared" si="23"/>
        <v>0.2857142857142857</v>
      </c>
      <c r="O174" t="str">
        <f t="shared" si="24"/>
        <v>Slow Moving</v>
      </c>
      <c r="P174" t="str">
        <f t="shared" si="25"/>
        <v/>
      </c>
      <c r="Q174" t="str">
        <f t="shared" si="26"/>
        <v/>
      </c>
      <c r="S174">
        <f t="shared" si="27"/>
        <v>38</v>
      </c>
      <c r="T174" t="str">
        <f t="shared" si="28"/>
        <v>0-30 Days</v>
      </c>
      <c r="U174">
        <f t="shared" si="29"/>
        <v>660000</v>
      </c>
      <c r="V174">
        <f>tbl_inventory[[#This Row],[Units_Sold]]*tbl_inventory[[#This Row],[Revenue]]</f>
        <v>2800000</v>
      </c>
    </row>
    <row r="175" spans="1:22" x14ac:dyDescent="0.25">
      <c r="A175" s="2" t="s">
        <v>17</v>
      </c>
      <c r="B175" t="s">
        <v>52</v>
      </c>
      <c r="C175" t="s">
        <v>45</v>
      </c>
      <c r="D175" t="s">
        <v>64</v>
      </c>
      <c r="E175" s="2">
        <v>45809</v>
      </c>
      <c r="F175" s="3">
        <v>33</v>
      </c>
      <c r="G175">
        <v>2</v>
      </c>
      <c r="H175">
        <v>31</v>
      </c>
      <c r="I175">
        <v>20000</v>
      </c>
      <c r="J175">
        <v>28000</v>
      </c>
      <c r="K175">
        <f t="shared" si="20"/>
        <v>56000</v>
      </c>
      <c r="L175">
        <f t="shared" si="21"/>
        <v>40000</v>
      </c>
      <c r="M175">
        <f t="shared" si="22"/>
        <v>16000</v>
      </c>
      <c r="N175" s="4">
        <f t="shared" si="23"/>
        <v>0.2857142857142857</v>
      </c>
      <c r="O175" t="str">
        <f t="shared" si="24"/>
        <v>Slow Moving</v>
      </c>
      <c r="P175" t="str">
        <f t="shared" si="25"/>
        <v/>
      </c>
      <c r="Q175" t="str">
        <f t="shared" si="26"/>
        <v/>
      </c>
      <c r="S175">
        <f t="shared" si="27"/>
        <v>32</v>
      </c>
      <c r="T175" t="str">
        <f t="shared" si="28"/>
        <v>0-30 Days</v>
      </c>
      <c r="U175">
        <f t="shared" si="29"/>
        <v>620000</v>
      </c>
      <c r="V175">
        <f>tbl_inventory[[#This Row],[Units_Sold]]*tbl_inventory[[#This Row],[Revenue]]</f>
        <v>112000</v>
      </c>
    </row>
    <row r="176" spans="1:22" x14ac:dyDescent="0.25">
      <c r="A176" s="2" t="s">
        <v>17</v>
      </c>
      <c r="B176" t="s">
        <v>52</v>
      </c>
      <c r="C176" t="s">
        <v>45</v>
      </c>
      <c r="D176" t="s">
        <v>65</v>
      </c>
      <c r="E176" s="2">
        <v>45658</v>
      </c>
      <c r="F176" s="3">
        <v>38</v>
      </c>
      <c r="G176">
        <v>8</v>
      </c>
      <c r="H176">
        <v>30</v>
      </c>
      <c r="I176">
        <v>20000</v>
      </c>
      <c r="J176">
        <v>28000</v>
      </c>
      <c r="K176">
        <f t="shared" si="20"/>
        <v>224000</v>
      </c>
      <c r="L176">
        <f t="shared" si="21"/>
        <v>160000</v>
      </c>
      <c r="M176">
        <f t="shared" si="22"/>
        <v>64000</v>
      </c>
      <c r="N176" s="4">
        <f t="shared" si="23"/>
        <v>0.2857142857142857</v>
      </c>
      <c r="O176" t="str">
        <f t="shared" si="24"/>
        <v>Slow Moving</v>
      </c>
      <c r="P176" t="str">
        <f t="shared" si="25"/>
        <v/>
      </c>
      <c r="Q176" t="str">
        <f t="shared" si="26"/>
        <v/>
      </c>
      <c r="S176">
        <f t="shared" si="27"/>
        <v>34</v>
      </c>
      <c r="T176" t="str">
        <f t="shared" si="28"/>
        <v>0-30 Days</v>
      </c>
      <c r="U176">
        <f t="shared" si="29"/>
        <v>600000</v>
      </c>
      <c r="V176">
        <f>tbl_inventory[[#This Row],[Units_Sold]]*tbl_inventory[[#This Row],[Revenue]]</f>
        <v>1792000</v>
      </c>
    </row>
    <row r="177" spans="1:22" x14ac:dyDescent="0.25">
      <c r="A177" s="2" t="s">
        <v>17</v>
      </c>
      <c r="B177" t="s">
        <v>52</v>
      </c>
      <c r="C177" t="s">
        <v>45</v>
      </c>
      <c r="D177" t="s">
        <v>65</v>
      </c>
      <c r="E177" s="2">
        <v>45689</v>
      </c>
      <c r="F177" s="3">
        <v>21</v>
      </c>
      <c r="G177">
        <v>3</v>
      </c>
      <c r="H177">
        <v>18</v>
      </c>
      <c r="I177">
        <v>20000</v>
      </c>
      <c r="J177">
        <v>28000</v>
      </c>
      <c r="K177">
        <f t="shared" si="20"/>
        <v>84000</v>
      </c>
      <c r="L177">
        <f t="shared" si="21"/>
        <v>60000</v>
      </c>
      <c r="M177">
        <f t="shared" si="22"/>
        <v>24000</v>
      </c>
      <c r="N177" s="4">
        <f t="shared" si="23"/>
        <v>0.2857142857142857</v>
      </c>
      <c r="O177" t="str">
        <f t="shared" si="24"/>
        <v>Slow Moving</v>
      </c>
      <c r="P177" t="str">
        <f t="shared" si="25"/>
        <v/>
      </c>
      <c r="Q177" t="str">
        <f t="shared" si="26"/>
        <v/>
      </c>
      <c r="S177">
        <f t="shared" si="27"/>
        <v>19.5</v>
      </c>
      <c r="T177" t="str">
        <f t="shared" si="28"/>
        <v>0-30 Days</v>
      </c>
      <c r="U177">
        <f t="shared" si="29"/>
        <v>360000</v>
      </c>
      <c r="V177">
        <f>tbl_inventory[[#This Row],[Units_Sold]]*tbl_inventory[[#This Row],[Revenue]]</f>
        <v>252000</v>
      </c>
    </row>
    <row r="178" spans="1:22" x14ac:dyDescent="0.25">
      <c r="A178" s="2" t="s">
        <v>17</v>
      </c>
      <c r="B178" t="s">
        <v>52</v>
      </c>
      <c r="C178" t="s">
        <v>45</v>
      </c>
      <c r="D178" t="s">
        <v>65</v>
      </c>
      <c r="E178" s="2">
        <v>45717</v>
      </c>
      <c r="F178" s="3">
        <v>18</v>
      </c>
      <c r="G178">
        <v>14</v>
      </c>
      <c r="H178">
        <v>4</v>
      </c>
      <c r="I178">
        <v>20000</v>
      </c>
      <c r="J178">
        <v>28000</v>
      </c>
      <c r="K178">
        <f t="shared" si="20"/>
        <v>392000</v>
      </c>
      <c r="L178">
        <f t="shared" si="21"/>
        <v>280000</v>
      </c>
      <c r="M178">
        <f t="shared" si="22"/>
        <v>112000</v>
      </c>
      <c r="N178" s="4">
        <f t="shared" si="23"/>
        <v>0.2857142857142857</v>
      </c>
      <c r="O178" t="str">
        <f t="shared" si="24"/>
        <v>Slow Moving</v>
      </c>
      <c r="P178" t="str">
        <f t="shared" si="25"/>
        <v/>
      </c>
      <c r="Q178" t="str">
        <f t="shared" si="26"/>
        <v/>
      </c>
      <c r="S178">
        <f t="shared" si="27"/>
        <v>11</v>
      </c>
      <c r="T178" t="str">
        <f t="shared" si="28"/>
        <v>0-30 Days</v>
      </c>
      <c r="U178">
        <f t="shared" si="29"/>
        <v>80000</v>
      </c>
      <c r="V178">
        <f>tbl_inventory[[#This Row],[Units_Sold]]*tbl_inventory[[#This Row],[Revenue]]</f>
        <v>5488000</v>
      </c>
    </row>
    <row r="179" spans="1:22" x14ac:dyDescent="0.25">
      <c r="A179" s="2" t="s">
        <v>17</v>
      </c>
      <c r="B179" t="s">
        <v>52</v>
      </c>
      <c r="C179" t="s">
        <v>45</v>
      </c>
      <c r="D179" t="s">
        <v>65</v>
      </c>
      <c r="E179" s="2">
        <v>45748</v>
      </c>
      <c r="F179" s="3">
        <v>25</v>
      </c>
      <c r="G179">
        <v>0</v>
      </c>
      <c r="H179">
        <v>25</v>
      </c>
      <c r="I179">
        <v>20000</v>
      </c>
      <c r="J179">
        <v>28000</v>
      </c>
      <c r="K179">
        <f t="shared" si="20"/>
        <v>0</v>
      </c>
      <c r="L179">
        <f t="shared" si="21"/>
        <v>0</v>
      </c>
      <c r="M179">
        <f t="shared" si="22"/>
        <v>0</v>
      </c>
      <c r="N179" s="4">
        <f t="shared" si="23"/>
        <v>0</v>
      </c>
      <c r="O179" t="str">
        <f t="shared" si="24"/>
        <v>Slow Moving</v>
      </c>
      <c r="P179" t="str">
        <f t="shared" si="25"/>
        <v>Dead Stock</v>
      </c>
      <c r="Q179" t="str">
        <f t="shared" si="26"/>
        <v>Low Margin</v>
      </c>
      <c r="S179">
        <f t="shared" si="27"/>
        <v>25</v>
      </c>
      <c r="T179" t="str">
        <f t="shared" si="28"/>
        <v>0-30 Days</v>
      </c>
      <c r="U179">
        <f t="shared" si="29"/>
        <v>500000</v>
      </c>
      <c r="V179">
        <f>tbl_inventory[[#This Row],[Units_Sold]]*tbl_inventory[[#This Row],[Revenue]]</f>
        <v>0</v>
      </c>
    </row>
    <row r="180" spans="1:22" x14ac:dyDescent="0.25">
      <c r="A180" s="2" t="s">
        <v>17</v>
      </c>
      <c r="B180" t="s">
        <v>52</v>
      </c>
      <c r="C180" t="s">
        <v>45</v>
      </c>
      <c r="D180" t="s">
        <v>65</v>
      </c>
      <c r="E180" s="2">
        <v>45778</v>
      </c>
      <c r="F180" s="3">
        <v>37</v>
      </c>
      <c r="G180">
        <v>26</v>
      </c>
      <c r="H180">
        <v>11</v>
      </c>
      <c r="I180">
        <v>20000</v>
      </c>
      <c r="J180">
        <v>28000</v>
      </c>
      <c r="K180">
        <f t="shared" si="20"/>
        <v>728000</v>
      </c>
      <c r="L180">
        <f t="shared" si="21"/>
        <v>520000</v>
      </c>
      <c r="M180">
        <f t="shared" si="22"/>
        <v>208000</v>
      </c>
      <c r="N180" s="4">
        <f t="shared" si="23"/>
        <v>0.2857142857142857</v>
      </c>
      <c r="O180" t="str">
        <f t="shared" si="24"/>
        <v>Normal</v>
      </c>
      <c r="P180" t="str">
        <f t="shared" si="25"/>
        <v/>
      </c>
      <c r="Q180" t="str">
        <f t="shared" si="26"/>
        <v/>
      </c>
      <c r="S180">
        <f t="shared" si="27"/>
        <v>24</v>
      </c>
      <c r="T180" t="str">
        <f t="shared" si="28"/>
        <v>0-30 Days</v>
      </c>
      <c r="U180">
        <f t="shared" si="29"/>
        <v>220000</v>
      </c>
      <c r="V180">
        <f>tbl_inventory[[#This Row],[Units_Sold]]*tbl_inventory[[#This Row],[Revenue]]</f>
        <v>18928000</v>
      </c>
    </row>
    <row r="181" spans="1:22" x14ac:dyDescent="0.25">
      <c r="A181" s="2" t="s">
        <v>17</v>
      </c>
      <c r="B181" t="s">
        <v>52</v>
      </c>
      <c r="C181" t="s">
        <v>45</v>
      </c>
      <c r="D181" t="s">
        <v>65</v>
      </c>
      <c r="E181" s="2">
        <v>45809</v>
      </c>
      <c r="F181" s="3">
        <v>40</v>
      </c>
      <c r="G181">
        <v>20</v>
      </c>
      <c r="H181">
        <v>20</v>
      </c>
      <c r="I181">
        <v>20000</v>
      </c>
      <c r="J181">
        <v>28000</v>
      </c>
      <c r="K181">
        <f t="shared" si="20"/>
        <v>560000</v>
      </c>
      <c r="L181">
        <f t="shared" si="21"/>
        <v>400000</v>
      </c>
      <c r="M181">
        <f t="shared" si="22"/>
        <v>160000</v>
      </c>
      <c r="N181" s="4">
        <f t="shared" si="23"/>
        <v>0.2857142857142857</v>
      </c>
      <c r="O181" t="str">
        <f t="shared" si="24"/>
        <v>Normal</v>
      </c>
      <c r="P181" t="str">
        <f t="shared" si="25"/>
        <v/>
      </c>
      <c r="Q181" t="str">
        <f t="shared" si="26"/>
        <v/>
      </c>
      <c r="S181">
        <f t="shared" si="27"/>
        <v>30</v>
      </c>
      <c r="T181" t="str">
        <f t="shared" si="28"/>
        <v>0-30 Days</v>
      </c>
      <c r="U181">
        <f t="shared" si="29"/>
        <v>400000</v>
      </c>
      <c r="V181">
        <f>tbl_inventory[[#This Row],[Units_Sold]]*tbl_inventory[[#This Row],[Revenue]]</f>
        <v>11200000</v>
      </c>
    </row>
    <row r="182" spans="1:22" x14ac:dyDescent="0.25">
      <c r="A182" s="2" t="s">
        <v>17</v>
      </c>
      <c r="B182" t="s">
        <v>52</v>
      </c>
      <c r="C182" t="s">
        <v>45</v>
      </c>
      <c r="D182" t="s">
        <v>66</v>
      </c>
      <c r="E182" s="2">
        <v>45658</v>
      </c>
      <c r="F182" s="3">
        <v>58</v>
      </c>
      <c r="G182">
        <v>35</v>
      </c>
      <c r="H182">
        <v>23</v>
      </c>
      <c r="I182">
        <v>20000</v>
      </c>
      <c r="J182">
        <v>28000</v>
      </c>
      <c r="K182">
        <f t="shared" si="20"/>
        <v>980000</v>
      </c>
      <c r="L182">
        <f t="shared" si="21"/>
        <v>700000</v>
      </c>
      <c r="M182">
        <f t="shared" si="22"/>
        <v>280000</v>
      </c>
      <c r="N182" s="4">
        <f t="shared" si="23"/>
        <v>0.2857142857142857</v>
      </c>
      <c r="O182" t="str">
        <f t="shared" si="24"/>
        <v>Normal</v>
      </c>
      <c r="P182" t="str">
        <f t="shared" si="25"/>
        <v/>
      </c>
      <c r="Q182" t="str">
        <f t="shared" si="26"/>
        <v/>
      </c>
      <c r="S182">
        <f t="shared" si="27"/>
        <v>40.5</v>
      </c>
      <c r="T182" t="str">
        <f t="shared" si="28"/>
        <v>0-30 Days</v>
      </c>
      <c r="U182">
        <f t="shared" si="29"/>
        <v>460000</v>
      </c>
      <c r="V182">
        <f>tbl_inventory[[#This Row],[Units_Sold]]*tbl_inventory[[#This Row],[Revenue]]</f>
        <v>34300000</v>
      </c>
    </row>
    <row r="183" spans="1:22" x14ac:dyDescent="0.25">
      <c r="A183" s="2" t="s">
        <v>17</v>
      </c>
      <c r="B183" t="s">
        <v>52</v>
      </c>
      <c r="C183" t="s">
        <v>45</v>
      </c>
      <c r="D183" t="s">
        <v>66</v>
      </c>
      <c r="E183" s="2">
        <v>45689</v>
      </c>
      <c r="F183" s="3">
        <v>13</v>
      </c>
      <c r="G183">
        <v>4</v>
      </c>
      <c r="H183">
        <v>9</v>
      </c>
      <c r="I183">
        <v>20000</v>
      </c>
      <c r="J183">
        <v>28000</v>
      </c>
      <c r="K183">
        <f t="shared" si="20"/>
        <v>112000</v>
      </c>
      <c r="L183">
        <f t="shared" si="21"/>
        <v>80000</v>
      </c>
      <c r="M183">
        <f t="shared" si="22"/>
        <v>32000</v>
      </c>
      <c r="N183" s="4">
        <f t="shared" si="23"/>
        <v>0.2857142857142857</v>
      </c>
      <c r="O183" t="str">
        <f t="shared" si="24"/>
        <v>Slow Moving</v>
      </c>
      <c r="P183" t="str">
        <f t="shared" si="25"/>
        <v/>
      </c>
      <c r="Q183" t="str">
        <f t="shared" si="26"/>
        <v/>
      </c>
      <c r="S183">
        <f t="shared" si="27"/>
        <v>11</v>
      </c>
      <c r="T183" t="str">
        <f t="shared" si="28"/>
        <v>0-30 Days</v>
      </c>
      <c r="U183">
        <f t="shared" si="29"/>
        <v>180000</v>
      </c>
      <c r="V183">
        <f>tbl_inventory[[#This Row],[Units_Sold]]*tbl_inventory[[#This Row],[Revenue]]</f>
        <v>448000</v>
      </c>
    </row>
    <row r="184" spans="1:22" x14ac:dyDescent="0.25">
      <c r="A184" s="2" t="s">
        <v>17</v>
      </c>
      <c r="B184" t="s">
        <v>52</v>
      </c>
      <c r="C184" t="s">
        <v>45</v>
      </c>
      <c r="D184" t="s">
        <v>66</v>
      </c>
      <c r="E184" s="2">
        <v>45717</v>
      </c>
      <c r="F184" s="3">
        <v>58</v>
      </c>
      <c r="G184">
        <v>16</v>
      </c>
      <c r="H184">
        <v>42</v>
      </c>
      <c r="I184">
        <v>20000</v>
      </c>
      <c r="J184">
        <v>28000</v>
      </c>
      <c r="K184">
        <f t="shared" si="20"/>
        <v>448000</v>
      </c>
      <c r="L184">
        <f t="shared" si="21"/>
        <v>320000</v>
      </c>
      <c r="M184">
        <f t="shared" si="22"/>
        <v>128000</v>
      </c>
      <c r="N184" s="4">
        <f t="shared" si="23"/>
        <v>0.2857142857142857</v>
      </c>
      <c r="O184" t="str">
        <f t="shared" si="24"/>
        <v>Slow Moving</v>
      </c>
      <c r="P184" t="str">
        <f t="shared" si="25"/>
        <v/>
      </c>
      <c r="Q184" t="str">
        <f t="shared" si="26"/>
        <v/>
      </c>
      <c r="S184">
        <f t="shared" si="27"/>
        <v>50</v>
      </c>
      <c r="T184" t="str">
        <f t="shared" si="28"/>
        <v>0-30 Days</v>
      </c>
      <c r="U184">
        <f t="shared" si="29"/>
        <v>840000</v>
      </c>
      <c r="V184">
        <f>tbl_inventory[[#This Row],[Units_Sold]]*tbl_inventory[[#This Row],[Revenue]]</f>
        <v>7168000</v>
      </c>
    </row>
    <row r="185" spans="1:22" x14ac:dyDescent="0.25">
      <c r="A185" s="2" t="s">
        <v>17</v>
      </c>
      <c r="B185" t="s">
        <v>52</v>
      </c>
      <c r="C185" t="s">
        <v>45</v>
      </c>
      <c r="D185" t="s">
        <v>66</v>
      </c>
      <c r="E185" s="2">
        <v>45748</v>
      </c>
      <c r="F185" s="3">
        <v>19</v>
      </c>
      <c r="G185">
        <v>16</v>
      </c>
      <c r="H185">
        <v>3</v>
      </c>
      <c r="I185">
        <v>20000</v>
      </c>
      <c r="J185">
        <v>28000</v>
      </c>
      <c r="K185">
        <f t="shared" si="20"/>
        <v>448000</v>
      </c>
      <c r="L185">
        <f t="shared" si="21"/>
        <v>320000</v>
      </c>
      <c r="M185">
        <f t="shared" si="22"/>
        <v>128000</v>
      </c>
      <c r="N185" s="4">
        <f t="shared" si="23"/>
        <v>0.2857142857142857</v>
      </c>
      <c r="O185" t="str">
        <f t="shared" si="24"/>
        <v>Slow Moving</v>
      </c>
      <c r="P185" t="str">
        <f t="shared" si="25"/>
        <v/>
      </c>
      <c r="Q185" t="str">
        <f t="shared" si="26"/>
        <v/>
      </c>
      <c r="S185">
        <f t="shared" si="27"/>
        <v>11</v>
      </c>
      <c r="T185" t="str">
        <f t="shared" si="28"/>
        <v>0-30 Days</v>
      </c>
      <c r="U185">
        <f t="shared" si="29"/>
        <v>60000</v>
      </c>
      <c r="V185">
        <f>tbl_inventory[[#This Row],[Units_Sold]]*tbl_inventory[[#This Row],[Revenue]]</f>
        <v>7168000</v>
      </c>
    </row>
    <row r="186" spans="1:22" x14ac:dyDescent="0.25">
      <c r="A186" s="2" t="s">
        <v>17</v>
      </c>
      <c r="B186" t="s">
        <v>52</v>
      </c>
      <c r="C186" t="s">
        <v>45</v>
      </c>
      <c r="D186" t="s">
        <v>66</v>
      </c>
      <c r="E186" s="2">
        <v>45778</v>
      </c>
      <c r="F186" s="3">
        <v>48</v>
      </c>
      <c r="G186">
        <v>14</v>
      </c>
      <c r="H186">
        <v>34</v>
      </c>
      <c r="I186">
        <v>20000</v>
      </c>
      <c r="J186">
        <v>28000</v>
      </c>
      <c r="K186">
        <f t="shared" si="20"/>
        <v>392000</v>
      </c>
      <c r="L186">
        <f t="shared" si="21"/>
        <v>280000</v>
      </c>
      <c r="M186">
        <f t="shared" si="22"/>
        <v>112000</v>
      </c>
      <c r="N186" s="4">
        <f t="shared" si="23"/>
        <v>0.2857142857142857</v>
      </c>
      <c r="O186" t="str">
        <f t="shared" si="24"/>
        <v>Slow Moving</v>
      </c>
      <c r="P186" t="str">
        <f t="shared" si="25"/>
        <v/>
      </c>
      <c r="Q186" t="str">
        <f t="shared" si="26"/>
        <v/>
      </c>
      <c r="S186">
        <f t="shared" si="27"/>
        <v>41</v>
      </c>
      <c r="T186" t="str">
        <f t="shared" si="28"/>
        <v>0-30 Days</v>
      </c>
      <c r="U186">
        <f t="shared" si="29"/>
        <v>680000</v>
      </c>
      <c r="V186">
        <f>tbl_inventory[[#This Row],[Units_Sold]]*tbl_inventory[[#This Row],[Revenue]]</f>
        <v>5488000</v>
      </c>
    </row>
    <row r="187" spans="1:22" x14ac:dyDescent="0.25">
      <c r="A187" s="2" t="s">
        <v>17</v>
      </c>
      <c r="B187" t="s">
        <v>52</v>
      </c>
      <c r="C187" t="s">
        <v>45</v>
      </c>
      <c r="D187" t="s">
        <v>66</v>
      </c>
      <c r="E187" s="2">
        <v>45809</v>
      </c>
      <c r="F187" s="3">
        <v>36</v>
      </c>
      <c r="G187">
        <v>19</v>
      </c>
      <c r="H187">
        <v>17</v>
      </c>
      <c r="I187">
        <v>20000</v>
      </c>
      <c r="J187">
        <v>28000</v>
      </c>
      <c r="K187">
        <f t="shared" si="20"/>
        <v>532000</v>
      </c>
      <c r="L187">
        <f t="shared" si="21"/>
        <v>380000</v>
      </c>
      <c r="M187">
        <f t="shared" si="22"/>
        <v>152000</v>
      </c>
      <c r="N187" s="4">
        <f t="shared" si="23"/>
        <v>0.2857142857142857</v>
      </c>
      <c r="O187" t="str">
        <f t="shared" si="24"/>
        <v>Slow Moving</v>
      </c>
      <c r="P187" t="str">
        <f t="shared" si="25"/>
        <v/>
      </c>
      <c r="Q187" t="str">
        <f t="shared" si="26"/>
        <v/>
      </c>
      <c r="S187">
        <f t="shared" si="27"/>
        <v>26.5</v>
      </c>
      <c r="T187" t="str">
        <f t="shared" si="28"/>
        <v>0-30 Days</v>
      </c>
      <c r="U187">
        <f t="shared" si="29"/>
        <v>340000</v>
      </c>
      <c r="V187">
        <f>tbl_inventory[[#This Row],[Units_Sold]]*tbl_inventory[[#This Row],[Revenue]]</f>
        <v>10108000</v>
      </c>
    </row>
    <row r="188" spans="1:22" x14ac:dyDescent="0.25">
      <c r="A188" s="2" t="s">
        <v>17</v>
      </c>
      <c r="B188" t="s">
        <v>52</v>
      </c>
      <c r="C188" t="s">
        <v>45</v>
      </c>
      <c r="D188" t="s">
        <v>67</v>
      </c>
      <c r="E188" s="2">
        <v>45658</v>
      </c>
      <c r="F188" s="3">
        <v>58</v>
      </c>
      <c r="G188">
        <v>2</v>
      </c>
      <c r="H188">
        <v>56</v>
      </c>
      <c r="I188">
        <v>20000</v>
      </c>
      <c r="J188">
        <v>28000</v>
      </c>
      <c r="K188">
        <f t="shared" si="20"/>
        <v>56000</v>
      </c>
      <c r="L188">
        <f t="shared" si="21"/>
        <v>40000</v>
      </c>
      <c r="M188">
        <f t="shared" si="22"/>
        <v>16000</v>
      </c>
      <c r="N188" s="4">
        <f t="shared" si="23"/>
        <v>0.2857142857142857</v>
      </c>
      <c r="O188" t="str">
        <f t="shared" si="24"/>
        <v>Slow Moving</v>
      </c>
      <c r="P188" t="str">
        <f t="shared" si="25"/>
        <v/>
      </c>
      <c r="Q188" t="str">
        <f t="shared" si="26"/>
        <v/>
      </c>
      <c r="S188">
        <f t="shared" si="27"/>
        <v>57</v>
      </c>
      <c r="T188" t="str">
        <f t="shared" si="28"/>
        <v>30-60 Days</v>
      </c>
      <c r="U188">
        <f t="shared" si="29"/>
        <v>1120000</v>
      </c>
      <c r="V188">
        <f>tbl_inventory[[#This Row],[Units_Sold]]*tbl_inventory[[#This Row],[Revenue]]</f>
        <v>112000</v>
      </c>
    </row>
    <row r="189" spans="1:22" x14ac:dyDescent="0.25">
      <c r="A189" s="2" t="s">
        <v>17</v>
      </c>
      <c r="B189" t="s">
        <v>52</v>
      </c>
      <c r="C189" t="s">
        <v>45</v>
      </c>
      <c r="D189" t="s">
        <v>67</v>
      </c>
      <c r="E189" s="2">
        <v>45689</v>
      </c>
      <c r="F189" s="3">
        <v>40</v>
      </c>
      <c r="G189">
        <v>40</v>
      </c>
      <c r="H189">
        <v>0</v>
      </c>
      <c r="I189">
        <v>20000</v>
      </c>
      <c r="J189">
        <v>28000</v>
      </c>
      <c r="K189">
        <f t="shared" si="20"/>
        <v>1120000</v>
      </c>
      <c r="L189">
        <f t="shared" si="21"/>
        <v>800000</v>
      </c>
      <c r="M189">
        <f t="shared" si="22"/>
        <v>320000</v>
      </c>
      <c r="N189" s="4">
        <f t="shared" si="23"/>
        <v>0.2857142857142857</v>
      </c>
      <c r="O189" t="str">
        <f t="shared" si="24"/>
        <v>Normal</v>
      </c>
      <c r="P189" t="str">
        <f t="shared" si="25"/>
        <v/>
      </c>
      <c r="Q189" t="str">
        <f t="shared" si="26"/>
        <v/>
      </c>
      <c r="S189">
        <f t="shared" si="27"/>
        <v>20</v>
      </c>
      <c r="T189" t="str">
        <f t="shared" si="28"/>
        <v>0-30 Days</v>
      </c>
      <c r="U189">
        <f t="shared" si="29"/>
        <v>0</v>
      </c>
      <c r="V189">
        <f>tbl_inventory[[#This Row],[Units_Sold]]*tbl_inventory[[#This Row],[Revenue]]</f>
        <v>44800000</v>
      </c>
    </row>
    <row r="190" spans="1:22" x14ac:dyDescent="0.25">
      <c r="A190" s="2" t="s">
        <v>17</v>
      </c>
      <c r="B190" t="s">
        <v>52</v>
      </c>
      <c r="C190" t="s">
        <v>45</v>
      </c>
      <c r="D190" t="s">
        <v>67</v>
      </c>
      <c r="E190" s="2">
        <v>45717</v>
      </c>
      <c r="F190" s="3">
        <v>22</v>
      </c>
      <c r="G190">
        <v>22</v>
      </c>
      <c r="H190">
        <v>0</v>
      </c>
      <c r="I190">
        <v>20000</v>
      </c>
      <c r="J190">
        <v>28000</v>
      </c>
      <c r="K190">
        <f t="shared" si="20"/>
        <v>616000</v>
      </c>
      <c r="L190">
        <f t="shared" si="21"/>
        <v>440000</v>
      </c>
      <c r="M190">
        <f t="shared" si="22"/>
        <v>176000</v>
      </c>
      <c r="N190" s="4">
        <f t="shared" si="23"/>
        <v>0.2857142857142857</v>
      </c>
      <c r="O190" t="str">
        <f t="shared" si="24"/>
        <v>Normal</v>
      </c>
      <c r="P190" t="str">
        <f t="shared" si="25"/>
        <v/>
      </c>
      <c r="Q190" t="str">
        <f t="shared" si="26"/>
        <v/>
      </c>
      <c r="S190">
        <f t="shared" si="27"/>
        <v>11</v>
      </c>
      <c r="T190" t="str">
        <f t="shared" si="28"/>
        <v>0-30 Days</v>
      </c>
      <c r="U190">
        <f t="shared" si="29"/>
        <v>0</v>
      </c>
      <c r="V190">
        <f>tbl_inventory[[#This Row],[Units_Sold]]*tbl_inventory[[#This Row],[Revenue]]</f>
        <v>13552000</v>
      </c>
    </row>
    <row r="191" spans="1:22" x14ac:dyDescent="0.25">
      <c r="A191" s="2" t="s">
        <v>17</v>
      </c>
      <c r="B191" t="s">
        <v>52</v>
      </c>
      <c r="C191" t="s">
        <v>45</v>
      </c>
      <c r="D191" t="s">
        <v>67</v>
      </c>
      <c r="E191" s="2">
        <v>45748</v>
      </c>
      <c r="F191" s="3">
        <v>15</v>
      </c>
      <c r="G191">
        <v>9</v>
      </c>
      <c r="H191">
        <v>6</v>
      </c>
      <c r="I191">
        <v>20000</v>
      </c>
      <c r="J191">
        <v>28000</v>
      </c>
      <c r="K191">
        <f t="shared" si="20"/>
        <v>252000</v>
      </c>
      <c r="L191">
        <f t="shared" si="21"/>
        <v>180000</v>
      </c>
      <c r="M191">
        <f t="shared" si="22"/>
        <v>72000</v>
      </c>
      <c r="N191" s="4">
        <f t="shared" si="23"/>
        <v>0.2857142857142857</v>
      </c>
      <c r="O191" t="str">
        <f t="shared" si="24"/>
        <v>Slow Moving</v>
      </c>
      <c r="P191" t="str">
        <f t="shared" si="25"/>
        <v/>
      </c>
      <c r="Q191" t="str">
        <f t="shared" si="26"/>
        <v/>
      </c>
      <c r="S191">
        <f t="shared" si="27"/>
        <v>10.5</v>
      </c>
      <c r="T191" t="str">
        <f t="shared" si="28"/>
        <v>0-30 Days</v>
      </c>
      <c r="U191">
        <f t="shared" si="29"/>
        <v>120000</v>
      </c>
      <c r="V191">
        <f>tbl_inventory[[#This Row],[Units_Sold]]*tbl_inventory[[#This Row],[Revenue]]</f>
        <v>2268000</v>
      </c>
    </row>
    <row r="192" spans="1:22" x14ac:dyDescent="0.25">
      <c r="A192" s="2" t="s">
        <v>17</v>
      </c>
      <c r="B192" t="s">
        <v>52</v>
      </c>
      <c r="C192" t="s">
        <v>45</v>
      </c>
      <c r="D192" t="s">
        <v>67</v>
      </c>
      <c r="E192" s="2">
        <v>45778</v>
      </c>
      <c r="F192" s="3">
        <v>46</v>
      </c>
      <c r="G192">
        <v>17</v>
      </c>
      <c r="H192">
        <v>29</v>
      </c>
      <c r="I192">
        <v>20000</v>
      </c>
      <c r="J192">
        <v>28000</v>
      </c>
      <c r="K192">
        <f t="shared" si="20"/>
        <v>476000</v>
      </c>
      <c r="L192">
        <f t="shared" si="21"/>
        <v>340000</v>
      </c>
      <c r="M192">
        <f t="shared" si="22"/>
        <v>136000</v>
      </c>
      <c r="N192" s="4">
        <f t="shared" si="23"/>
        <v>0.2857142857142857</v>
      </c>
      <c r="O192" t="str">
        <f t="shared" si="24"/>
        <v>Slow Moving</v>
      </c>
      <c r="P192" t="str">
        <f t="shared" si="25"/>
        <v/>
      </c>
      <c r="Q192" t="str">
        <f t="shared" si="26"/>
        <v/>
      </c>
      <c r="S192">
        <f t="shared" si="27"/>
        <v>37.5</v>
      </c>
      <c r="T192" t="str">
        <f t="shared" si="28"/>
        <v>0-30 Days</v>
      </c>
      <c r="U192">
        <f t="shared" si="29"/>
        <v>580000</v>
      </c>
      <c r="V192">
        <f>tbl_inventory[[#This Row],[Units_Sold]]*tbl_inventory[[#This Row],[Revenue]]</f>
        <v>8092000</v>
      </c>
    </row>
    <row r="193" spans="1:22" x14ac:dyDescent="0.25">
      <c r="A193" s="2" t="s">
        <v>17</v>
      </c>
      <c r="B193" t="s">
        <v>52</v>
      </c>
      <c r="C193" t="s">
        <v>45</v>
      </c>
      <c r="D193" t="s">
        <v>67</v>
      </c>
      <c r="E193" s="2">
        <v>45809</v>
      </c>
      <c r="F193" s="3">
        <v>26</v>
      </c>
      <c r="G193">
        <v>3</v>
      </c>
      <c r="H193">
        <v>23</v>
      </c>
      <c r="I193">
        <v>20000</v>
      </c>
      <c r="J193">
        <v>28000</v>
      </c>
      <c r="K193">
        <f t="shared" si="20"/>
        <v>84000</v>
      </c>
      <c r="L193">
        <f t="shared" si="21"/>
        <v>60000</v>
      </c>
      <c r="M193">
        <f t="shared" si="22"/>
        <v>24000</v>
      </c>
      <c r="N193" s="4">
        <f t="shared" si="23"/>
        <v>0.2857142857142857</v>
      </c>
      <c r="O193" t="str">
        <f t="shared" si="24"/>
        <v>Slow Moving</v>
      </c>
      <c r="P193" t="str">
        <f t="shared" si="25"/>
        <v/>
      </c>
      <c r="Q193" t="str">
        <f t="shared" si="26"/>
        <v/>
      </c>
      <c r="S193">
        <f t="shared" si="27"/>
        <v>24.5</v>
      </c>
      <c r="T193" t="str">
        <f t="shared" si="28"/>
        <v>0-30 Days</v>
      </c>
      <c r="U193">
        <f t="shared" si="29"/>
        <v>460000</v>
      </c>
      <c r="V193">
        <f>tbl_inventory[[#This Row],[Units_Sold]]*tbl_inventory[[#This Row],[Revenue]]</f>
        <v>252000</v>
      </c>
    </row>
    <row r="194" spans="1:22" x14ac:dyDescent="0.25">
      <c r="A194" s="2" t="s">
        <v>18</v>
      </c>
      <c r="B194" t="s">
        <v>42</v>
      </c>
      <c r="C194" t="s">
        <v>46</v>
      </c>
      <c r="D194" t="s">
        <v>64</v>
      </c>
      <c r="E194" s="2">
        <v>45658</v>
      </c>
      <c r="F194" s="3">
        <v>555</v>
      </c>
      <c r="G194">
        <v>552</v>
      </c>
      <c r="H194">
        <v>3</v>
      </c>
      <c r="I194">
        <v>40</v>
      </c>
      <c r="J194">
        <v>60</v>
      </c>
      <c r="K194">
        <f t="shared" si="20"/>
        <v>33120</v>
      </c>
      <c r="L194">
        <f t="shared" si="21"/>
        <v>22080</v>
      </c>
      <c r="M194">
        <f t="shared" si="22"/>
        <v>11040</v>
      </c>
      <c r="N194" s="4">
        <f t="shared" si="23"/>
        <v>0.33333333333333331</v>
      </c>
      <c r="O194" t="str">
        <f t="shared" si="24"/>
        <v>Normal</v>
      </c>
      <c r="P194" t="str">
        <f t="shared" si="25"/>
        <v/>
      </c>
      <c r="Q194" t="str">
        <f t="shared" si="26"/>
        <v/>
      </c>
      <c r="S194">
        <f t="shared" si="27"/>
        <v>279</v>
      </c>
      <c r="T194" t="str">
        <f t="shared" si="28"/>
        <v>0-30 Days</v>
      </c>
      <c r="U194">
        <f t="shared" si="29"/>
        <v>120</v>
      </c>
      <c r="V194">
        <f>tbl_inventory[[#This Row],[Units_Sold]]*tbl_inventory[[#This Row],[Revenue]]</f>
        <v>18282240</v>
      </c>
    </row>
    <row r="195" spans="1:22" x14ac:dyDescent="0.25">
      <c r="A195" s="2" t="s">
        <v>18</v>
      </c>
      <c r="B195" t="s">
        <v>42</v>
      </c>
      <c r="C195" t="s">
        <v>46</v>
      </c>
      <c r="D195" t="s">
        <v>64</v>
      </c>
      <c r="E195" s="2">
        <v>45689</v>
      </c>
      <c r="F195" s="3">
        <v>215</v>
      </c>
      <c r="G195">
        <v>2</v>
      </c>
      <c r="H195">
        <v>213</v>
      </c>
      <c r="I195">
        <v>40</v>
      </c>
      <c r="J195">
        <v>60</v>
      </c>
      <c r="K195">
        <f t="shared" ref="K195:K258" si="30">G195*J195</f>
        <v>120</v>
      </c>
      <c r="L195">
        <f t="shared" ref="L195:L258" si="31">G195*I195</f>
        <v>80</v>
      </c>
      <c r="M195">
        <f t="shared" ref="M195:M258" si="32">K195-L195</f>
        <v>40</v>
      </c>
      <c r="N195" s="4">
        <f t="shared" ref="N195:N258" si="33">IF(K195=0,0,M195/K195)</f>
        <v>0.33333333333333331</v>
      </c>
      <c r="O195" t="str">
        <f t="shared" ref="O195:O258" si="34">IF(G195&lt;20,"Slow Moving","Normal")</f>
        <v>Slow Moving</v>
      </c>
      <c r="P195" t="str">
        <f t="shared" ref="P195:P258" si="35">IF(G195=0,"Dead Stock","")</f>
        <v/>
      </c>
      <c r="Q195" t="str">
        <f t="shared" ref="Q195:Q258" si="36">IF(N195&lt;0.1,"Low Margin","")</f>
        <v/>
      </c>
      <c r="S195">
        <f t="shared" ref="S195:S258" si="37">(F195+H195)/2</f>
        <v>214</v>
      </c>
      <c r="T195" t="str">
        <f t="shared" ref="T195:T258" si="38">IF(H195&gt;200,"90+ Days",
IF(H195&gt;100,"60-90 Days",
IF(H195&gt;50,"30-60 Days","0-30 Days")))</f>
        <v>90+ Days</v>
      </c>
      <c r="U195">
        <f t="shared" ref="U195:U258" si="39">H195 * I195</f>
        <v>8520</v>
      </c>
      <c r="V195">
        <f>tbl_inventory[[#This Row],[Units_Sold]]*tbl_inventory[[#This Row],[Revenue]]</f>
        <v>240</v>
      </c>
    </row>
    <row r="196" spans="1:22" x14ac:dyDescent="0.25">
      <c r="A196" s="2" t="s">
        <v>18</v>
      </c>
      <c r="B196" t="s">
        <v>42</v>
      </c>
      <c r="C196" t="s">
        <v>46</v>
      </c>
      <c r="D196" t="s">
        <v>64</v>
      </c>
      <c r="E196" s="2">
        <v>45717</v>
      </c>
      <c r="F196" s="3">
        <v>519</v>
      </c>
      <c r="G196">
        <v>331</v>
      </c>
      <c r="H196">
        <v>188</v>
      </c>
      <c r="I196">
        <v>40</v>
      </c>
      <c r="J196">
        <v>60</v>
      </c>
      <c r="K196">
        <f t="shared" si="30"/>
        <v>19860</v>
      </c>
      <c r="L196">
        <f t="shared" si="31"/>
        <v>13240</v>
      </c>
      <c r="M196">
        <f t="shared" si="32"/>
        <v>6620</v>
      </c>
      <c r="N196" s="4">
        <f t="shared" si="33"/>
        <v>0.33333333333333331</v>
      </c>
      <c r="O196" t="str">
        <f t="shared" si="34"/>
        <v>Normal</v>
      </c>
      <c r="P196" t="str">
        <f t="shared" si="35"/>
        <v/>
      </c>
      <c r="Q196" t="str">
        <f t="shared" si="36"/>
        <v/>
      </c>
      <c r="S196">
        <f t="shared" si="37"/>
        <v>353.5</v>
      </c>
      <c r="T196" t="str">
        <f t="shared" si="38"/>
        <v>60-90 Days</v>
      </c>
      <c r="U196">
        <f t="shared" si="39"/>
        <v>7520</v>
      </c>
      <c r="V196">
        <f>tbl_inventory[[#This Row],[Units_Sold]]*tbl_inventory[[#This Row],[Revenue]]</f>
        <v>6573660</v>
      </c>
    </row>
    <row r="197" spans="1:22" x14ac:dyDescent="0.25">
      <c r="A197" s="2" t="s">
        <v>18</v>
      </c>
      <c r="B197" t="s">
        <v>42</v>
      </c>
      <c r="C197" t="s">
        <v>46</v>
      </c>
      <c r="D197" t="s">
        <v>64</v>
      </c>
      <c r="E197" s="2">
        <v>45748</v>
      </c>
      <c r="F197" s="3">
        <v>707</v>
      </c>
      <c r="G197">
        <v>217</v>
      </c>
      <c r="H197">
        <v>490</v>
      </c>
      <c r="I197">
        <v>40</v>
      </c>
      <c r="J197">
        <v>60</v>
      </c>
      <c r="K197">
        <f t="shared" si="30"/>
        <v>13020</v>
      </c>
      <c r="L197">
        <f t="shared" si="31"/>
        <v>8680</v>
      </c>
      <c r="M197">
        <f t="shared" si="32"/>
        <v>4340</v>
      </c>
      <c r="N197" s="4">
        <f t="shared" si="33"/>
        <v>0.33333333333333331</v>
      </c>
      <c r="O197" t="str">
        <f t="shared" si="34"/>
        <v>Normal</v>
      </c>
      <c r="P197" t="str">
        <f t="shared" si="35"/>
        <v/>
      </c>
      <c r="Q197" t="str">
        <f t="shared" si="36"/>
        <v/>
      </c>
      <c r="S197">
        <f t="shared" si="37"/>
        <v>598.5</v>
      </c>
      <c r="T197" t="str">
        <f t="shared" si="38"/>
        <v>90+ Days</v>
      </c>
      <c r="U197">
        <f t="shared" si="39"/>
        <v>19600</v>
      </c>
      <c r="V197">
        <f>tbl_inventory[[#This Row],[Units_Sold]]*tbl_inventory[[#This Row],[Revenue]]</f>
        <v>2825340</v>
      </c>
    </row>
    <row r="198" spans="1:22" x14ac:dyDescent="0.25">
      <c r="A198" s="2" t="s">
        <v>18</v>
      </c>
      <c r="B198" t="s">
        <v>42</v>
      </c>
      <c r="C198" t="s">
        <v>46</v>
      </c>
      <c r="D198" t="s">
        <v>64</v>
      </c>
      <c r="E198" s="2">
        <v>45778</v>
      </c>
      <c r="F198" s="3">
        <v>759</v>
      </c>
      <c r="G198">
        <v>459</v>
      </c>
      <c r="H198">
        <v>300</v>
      </c>
      <c r="I198">
        <v>40</v>
      </c>
      <c r="J198">
        <v>60</v>
      </c>
      <c r="K198">
        <f t="shared" si="30"/>
        <v>27540</v>
      </c>
      <c r="L198">
        <f t="shared" si="31"/>
        <v>18360</v>
      </c>
      <c r="M198">
        <f t="shared" si="32"/>
        <v>9180</v>
      </c>
      <c r="N198" s="4">
        <f t="shared" si="33"/>
        <v>0.33333333333333331</v>
      </c>
      <c r="O198" t="str">
        <f t="shared" si="34"/>
        <v>Normal</v>
      </c>
      <c r="P198" t="str">
        <f t="shared" si="35"/>
        <v/>
      </c>
      <c r="Q198" t="str">
        <f t="shared" si="36"/>
        <v/>
      </c>
      <c r="S198">
        <f t="shared" si="37"/>
        <v>529.5</v>
      </c>
      <c r="T198" t="str">
        <f t="shared" si="38"/>
        <v>90+ Days</v>
      </c>
      <c r="U198">
        <f t="shared" si="39"/>
        <v>12000</v>
      </c>
      <c r="V198">
        <f>tbl_inventory[[#This Row],[Units_Sold]]*tbl_inventory[[#This Row],[Revenue]]</f>
        <v>12640860</v>
      </c>
    </row>
    <row r="199" spans="1:22" x14ac:dyDescent="0.25">
      <c r="A199" s="2" t="s">
        <v>18</v>
      </c>
      <c r="B199" t="s">
        <v>42</v>
      </c>
      <c r="C199" t="s">
        <v>46</v>
      </c>
      <c r="D199" t="s">
        <v>64</v>
      </c>
      <c r="E199" s="2">
        <v>45809</v>
      </c>
      <c r="F199" s="3">
        <v>312</v>
      </c>
      <c r="G199">
        <v>82</v>
      </c>
      <c r="H199">
        <v>230</v>
      </c>
      <c r="I199">
        <v>40</v>
      </c>
      <c r="J199">
        <v>60</v>
      </c>
      <c r="K199">
        <f t="shared" si="30"/>
        <v>4920</v>
      </c>
      <c r="L199">
        <f t="shared" si="31"/>
        <v>3280</v>
      </c>
      <c r="M199">
        <f t="shared" si="32"/>
        <v>1640</v>
      </c>
      <c r="N199" s="4">
        <f t="shared" si="33"/>
        <v>0.33333333333333331</v>
      </c>
      <c r="O199" t="str">
        <f t="shared" si="34"/>
        <v>Normal</v>
      </c>
      <c r="P199" t="str">
        <f t="shared" si="35"/>
        <v/>
      </c>
      <c r="Q199" t="str">
        <f t="shared" si="36"/>
        <v/>
      </c>
      <c r="S199">
        <f t="shared" si="37"/>
        <v>271</v>
      </c>
      <c r="T199" t="str">
        <f t="shared" si="38"/>
        <v>90+ Days</v>
      </c>
      <c r="U199">
        <f t="shared" si="39"/>
        <v>9200</v>
      </c>
      <c r="V199">
        <f>tbl_inventory[[#This Row],[Units_Sold]]*tbl_inventory[[#This Row],[Revenue]]</f>
        <v>403440</v>
      </c>
    </row>
    <row r="200" spans="1:22" x14ac:dyDescent="0.25">
      <c r="A200" s="2" t="s">
        <v>18</v>
      </c>
      <c r="B200" t="s">
        <v>42</v>
      </c>
      <c r="C200" t="s">
        <v>46</v>
      </c>
      <c r="D200" t="s">
        <v>65</v>
      </c>
      <c r="E200" s="2">
        <v>45658</v>
      </c>
      <c r="F200" s="3">
        <v>313</v>
      </c>
      <c r="G200">
        <v>177</v>
      </c>
      <c r="H200">
        <v>136</v>
      </c>
      <c r="I200">
        <v>40</v>
      </c>
      <c r="J200">
        <v>60</v>
      </c>
      <c r="K200">
        <f t="shared" si="30"/>
        <v>10620</v>
      </c>
      <c r="L200">
        <f t="shared" si="31"/>
        <v>7080</v>
      </c>
      <c r="M200">
        <f t="shared" si="32"/>
        <v>3540</v>
      </c>
      <c r="N200" s="4">
        <f t="shared" si="33"/>
        <v>0.33333333333333331</v>
      </c>
      <c r="O200" t="str">
        <f t="shared" si="34"/>
        <v>Normal</v>
      </c>
      <c r="P200" t="str">
        <f t="shared" si="35"/>
        <v/>
      </c>
      <c r="Q200" t="str">
        <f t="shared" si="36"/>
        <v/>
      </c>
      <c r="S200">
        <f t="shared" si="37"/>
        <v>224.5</v>
      </c>
      <c r="T200" t="str">
        <f t="shared" si="38"/>
        <v>60-90 Days</v>
      </c>
      <c r="U200">
        <f t="shared" si="39"/>
        <v>5440</v>
      </c>
      <c r="V200">
        <f>tbl_inventory[[#This Row],[Units_Sold]]*tbl_inventory[[#This Row],[Revenue]]</f>
        <v>1879740</v>
      </c>
    </row>
    <row r="201" spans="1:22" x14ac:dyDescent="0.25">
      <c r="A201" s="2" t="s">
        <v>18</v>
      </c>
      <c r="B201" t="s">
        <v>42</v>
      </c>
      <c r="C201" t="s">
        <v>46</v>
      </c>
      <c r="D201" t="s">
        <v>65</v>
      </c>
      <c r="E201" s="2">
        <v>45689</v>
      </c>
      <c r="F201" s="3">
        <v>354</v>
      </c>
      <c r="G201">
        <v>326</v>
      </c>
      <c r="H201">
        <v>28</v>
      </c>
      <c r="I201">
        <v>40</v>
      </c>
      <c r="J201">
        <v>60</v>
      </c>
      <c r="K201">
        <f t="shared" si="30"/>
        <v>19560</v>
      </c>
      <c r="L201">
        <f t="shared" si="31"/>
        <v>13040</v>
      </c>
      <c r="M201">
        <f t="shared" si="32"/>
        <v>6520</v>
      </c>
      <c r="N201" s="4">
        <f t="shared" si="33"/>
        <v>0.33333333333333331</v>
      </c>
      <c r="O201" t="str">
        <f t="shared" si="34"/>
        <v>Normal</v>
      </c>
      <c r="P201" t="str">
        <f t="shared" si="35"/>
        <v/>
      </c>
      <c r="Q201" t="str">
        <f t="shared" si="36"/>
        <v/>
      </c>
      <c r="S201">
        <f t="shared" si="37"/>
        <v>191</v>
      </c>
      <c r="T201" t="str">
        <f t="shared" si="38"/>
        <v>0-30 Days</v>
      </c>
      <c r="U201">
        <f t="shared" si="39"/>
        <v>1120</v>
      </c>
      <c r="V201">
        <f>tbl_inventory[[#This Row],[Units_Sold]]*tbl_inventory[[#This Row],[Revenue]]</f>
        <v>6376560</v>
      </c>
    </row>
    <row r="202" spans="1:22" x14ac:dyDescent="0.25">
      <c r="A202" s="2" t="s">
        <v>18</v>
      </c>
      <c r="B202" t="s">
        <v>42</v>
      </c>
      <c r="C202" t="s">
        <v>46</v>
      </c>
      <c r="D202" t="s">
        <v>65</v>
      </c>
      <c r="E202" s="2">
        <v>45717</v>
      </c>
      <c r="F202" s="3">
        <v>526</v>
      </c>
      <c r="G202">
        <v>385</v>
      </c>
      <c r="H202">
        <v>141</v>
      </c>
      <c r="I202">
        <v>40</v>
      </c>
      <c r="J202">
        <v>60</v>
      </c>
      <c r="K202">
        <f t="shared" si="30"/>
        <v>23100</v>
      </c>
      <c r="L202">
        <f t="shared" si="31"/>
        <v>15400</v>
      </c>
      <c r="M202">
        <f t="shared" si="32"/>
        <v>7700</v>
      </c>
      <c r="N202" s="4">
        <f t="shared" si="33"/>
        <v>0.33333333333333331</v>
      </c>
      <c r="O202" t="str">
        <f t="shared" si="34"/>
        <v>Normal</v>
      </c>
      <c r="P202" t="str">
        <f t="shared" si="35"/>
        <v/>
      </c>
      <c r="Q202" t="str">
        <f t="shared" si="36"/>
        <v/>
      </c>
      <c r="S202">
        <f t="shared" si="37"/>
        <v>333.5</v>
      </c>
      <c r="T202" t="str">
        <f t="shared" si="38"/>
        <v>60-90 Days</v>
      </c>
      <c r="U202">
        <f t="shared" si="39"/>
        <v>5640</v>
      </c>
      <c r="V202">
        <f>tbl_inventory[[#This Row],[Units_Sold]]*tbl_inventory[[#This Row],[Revenue]]</f>
        <v>8893500</v>
      </c>
    </row>
    <row r="203" spans="1:22" x14ac:dyDescent="0.25">
      <c r="A203" s="2" t="s">
        <v>18</v>
      </c>
      <c r="B203" t="s">
        <v>42</v>
      </c>
      <c r="C203" t="s">
        <v>46</v>
      </c>
      <c r="D203" t="s">
        <v>65</v>
      </c>
      <c r="E203" s="2">
        <v>45748</v>
      </c>
      <c r="F203" s="3">
        <v>578</v>
      </c>
      <c r="G203">
        <v>310</v>
      </c>
      <c r="H203">
        <v>268</v>
      </c>
      <c r="I203">
        <v>40</v>
      </c>
      <c r="J203">
        <v>60</v>
      </c>
      <c r="K203">
        <f t="shared" si="30"/>
        <v>18600</v>
      </c>
      <c r="L203">
        <f t="shared" si="31"/>
        <v>12400</v>
      </c>
      <c r="M203">
        <f t="shared" si="32"/>
        <v>6200</v>
      </c>
      <c r="N203" s="4">
        <f t="shared" si="33"/>
        <v>0.33333333333333331</v>
      </c>
      <c r="O203" t="str">
        <f t="shared" si="34"/>
        <v>Normal</v>
      </c>
      <c r="P203" t="str">
        <f t="shared" si="35"/>
        <v/>
      </c>
      <c r="Q203" t="str">
        <f t="shared" si="36"/>
        <v/>
      </c>
      <c r="S203">
        <f t="shared" si="37"/>
        <v>423</v>
      </c>
      <c r="T203" t="str">
        <f t="shared" si="38"/>
        <v>90+ Days</v>
      </c>
      <c r="U203">
        <f t="shared" si="39"/>
        <v>10720</v>
      </c>
      <c r="V203">
        <f>tbl_inventory[[#This Row],[Units_Sold]]*tbl_inventory[[#This Row],[Revenue]]</f>
        <v>5766000</v>
      </c>
    </row>
    <row r="204" spans="1:22" x14ac:dyDescent="0.25">
      <c r="A204" s="2" t="s">
        <v>18</v>
      </c>
      <c r="B204" t="s">
        <v>42</v>
      </c>
      <c r="C204" t="s">
        <v>46</v>
      </c>
      <c r="D204" t="s">
        <v>65</v>
      </c>
      <c r="E204" s="2">
        <v>45778</v>
      </c>
      <c r="F204" s="3">
        <v>322</v>
      </c>
      <c r="G204">
        <v>305</v>
      </c>
      <c r="H204">
        <v>17</v>
      </c>
      <c r="I204">
        <v>40</v>
      </c>
      <c r="J204">
        <v>60</v>
      </c>
      <c r="K204">
        <f t="shared" si="30"/>
        <v>18300</v>
      </c>
      <c r="L204">
        <f t="shared" si="31"/>
        <v>12200</v>
      </c>
      <c r="M204">
        <f t="shared" si="32"/>
        <v>6100</v>
      </c>
      <c r="N204" s="4">
        <f t="shared" si="33"/>
        <v>0.33333333333333331</v>
      </c>
      <c r="O204" t="str">
        <f t="shared" si="34"/>
        <v>Normal</v>
      </c>
      <c r="P204" t="str">
        <f t="shared" si="35"/>
        <v/>
      </c>
      <c r="Q204" t="str">
        <f t="shared" si="36"/>
        <v/>
      </c>
      <c r="S204">
        <f t="shared" si="37"/>
        <v>169.5</v>
      </c>
      <c r="T204" t="str">
        <f t="shared" si="38"/>
        <v>0-30 Days</v>
      </c>
      <c r="U204">
        <f t="shared" si="39"/>
        <v>680</v>
      </c>
      <c r="V204">
        <f>tbl_inventory[[#This Row],[Units_Sold]]*tbl_inventory[[#This Row],[Revenue]]</f>
        <v>5581500</v>
      </c>
    </row>
    <row r="205" spans="1:22" x14ac:dyDescent="0.25">
      <c r="A205" s="2" t="s">
        <v>18</v>
      </c>
      <c r="B205" t="s">
        <v>42</v>
      </c>
      <c r="C205" t="s">
        <v>46</v>
      </c>
      <c r="D205" t="s">
        <v>65</v>
      </c>
      <c r="E205" s="2">
        <v>45809</v>
      </c>
      <c r="F205" s="3">
        <v>642</v>
      </c>
      <c r="G205">
        <v>485</v>
      </c>
      <c r="H205">
        <v>157</v>
      </c>
      <c r="I205">
        <v>40</v>
      </c>
      <c r="J205">
        <v>60</v>
      </c>
      <c r="K205">
        <f t="shared" si="30"/>
        <v>29100</v>
      </c>
      <c r="L205">
        <f t="shared" si="31"/>
        <v>19400</v>
      </c>
      <c r="M205">
        <f t="shared" si="32"/>
        <v>9700</v>
      </c>
      <c r="N205" s="4">
        <f t="shared" si="33"/>
        <v>0.33333333333333331</v>
      </c>
      <c r="O205" t="str">
        <f t="shared" si="34"/>
        <v>Normal</v>
      </c>
      <c r="P205" t="str">
        <f t="shared" si="35"/>
        <v/>
      </c>
      <c r="Q205" t="str">
        <f t="shared" si="36"/>
        <v/>
      </c>
      <c r="S205">
        <f t="shared" si="37"/>
        <v>399.5</v>
      </c>
      <c r="T205" t="str">
        <f t="shared" si="38"/>
        <v>60-90 Days</v>
      </c>
      <c r="U205">
        <f t="shared" si="39"/>
        <v>6280</v>
      </c>
      <c r="V205">
        <f>tbl_inventory[[#This Row],[Units_Sold]]*tbl_inventory[[#This Row],[Revenue]]</f>
        <v>14113500</v>
      </c>
    </row>
    <row r="206" spans="1:22" x14ac:dyDescent="0.25">
      <c r="A206" s="2" t="s">
        <v>18</v>
      </c>
      <c r="B206" t="s">
        <v>42</v>
      </c>
      <c r="C206" t="s">
        <v>46</v>
      </c>
      <c r="D206" t="s">
        <v>66</v>
      </c>
      <c r="E206" s="2">
        <v>45658</v>
      </c>
      <c r="F206" s="3">
        <v>553</v>
      </c>
      <c r="G206">
        <v>243</v>
      </c>
      <c r="H206">
        <v>310</v>
      </c>
      <c r="I206">
        <v>40</v>
      </c>
      <c r="J206">
        <v>60</v>
      </c>
      <c r="K206">
        <f t="shared" si="30"/>
        <v>14580</v>
      </c>
      <c r="L206">
        <f t="shared" si="31"/>
        <v>9720</v>
      </c>
      <c r="M206">
        <f t="shared" si="32"/>
        <v>4860</v>
      </c>
      <c r="N206" s="4">
        <f t="shared" si="33"/>
        <v>0.33333333333333331</v>
      </c>
      <c r="O206" t="str">
        <f t="shared" si="34"/>
        <v>Normal</v>
      </c>
      <c r="P206" t="str">
        <f t="shared" si="35"/>
        <v/>
      </c>
      <c r="Q206" t="str">
        <f t="shared" si="36"/>
        <v/>
      </c>
      <c r="S206">
        <f t="shared" si="37"/>
        <v>431.5</v>
      </c>
      <c r="T206" t="str">
        <f t="shared" si="38"/>
        <v>90+ Days</v>
      </c>
      <c r="U206">
        <f t="shared" si="39"/>
        <v>12400</v>
      </c>
      <c r="V206">
        <f>tbl_inventory[[#This Row],[Units_Sold]]*tbl_inventory[[#This Row],[Revenue]]</f>
        <v>3542940</v>
      </c>
    </row>
    <row r="207" spans="1:22" x14ac:dyDescent="0.25">
      <c r="A207" s="2" t="s">
        <v>18</v>
      </c>
      <c r="B207" t="s">
        <v>42</v>
      </c>
      <c r="C207" t="s">
        <v>46</v>
      </c>
      <c r="D207" t="s">
        <v>66</v>
      </c>
      <c r="E207" s="2">
        <v>45689</v>
      </c>
      <c r="F207" s="3">
        <v>545</v>
      </c>
      <c r="G207">
        <v>61</v>
      </c>
      <c r="H207">
        <v>484</v>
      </c>
      <c r="I207">
        <v>40</v>
      </c>
      <c r="J207">
        <v>60</v>
      </c>
      <c r="K207">
        <f t="shared" si="30"/>
        <v>3660</v>
      </c>
      <c r="L207">
        <f t="shared" si="31"/>
        <v>2440</v>
      </c>
      <c r="M207">
        <f t="shared" si="32"/>
        <v>1220</v>
      </c>
      <c r="N207" s="4">
        <f t="shared" si="33"/>
        <v>0.33333333333333331</v>
      </c>
      <c r="O207" t="str">
        <f t="shared" si="34"/>
        <v>Normal</v>
      </c>
      <c r="P207" t="str">
        <f t="shared" si="35"/>
        <v/>
      </c>
      <c r="Q207" t="str">
        <f t="shared" si="36"/>
        <v/>
      </c>
      <c r="S207">
        <f t="shared" si="37"/>
        <v>514.5</v>
      </c>
      <c r="T207" t="str">
        <f t="shared" si="38"/>
        <v>90+ Days</v>
      </c>
      <c r="U207">
        <f t="shared" si="39"/>
        <v>19360</v>
      </c>
      <c r="V207">
        <f>tbl_inventory[[#This Row],[Units_Sold]]*tbl_inventory[[#This Row],[Revenue]]</f>
        <v>223260</v>
      </c>
    </row>
    <row r="208" spans="1:22" x14ac:dyDescent="0.25">
      <c r="A208" s="2" t="s">
        <v>18</v>
      </c>
      <c r="B208" t="s">
        <v>42</v>
      </c>
      <c r="C208" t="s">
        <v>46</v>
      </c>
      <c r="D208" t="s">
        <v>66</v>
      </c>
      <c r="E208" s="2">
        <v>45717</v>
      </c>
      <c r="F208" s="3">
        <v>790</v>
      </c>
      <c r="G208">
        <v>773</v>
      </c>
      <c r="H208">
        <v>17</v>
      </c>
      <c r="I208">
        <v>40</v>
      </c>
      <c r="J208">
        <v>60</v>
      </c>
      <c r="K208">
        <f t="shared" si="30"/>
        <v>46380</v>
      </c>
      <c r="L208">
        <f t="shared" si="31"/>
        <v>30920</v>
      </c>
      <c r="M208">
        <f t="shared" si="32"/>
        <v>15460</v>
      </c>
      <c r="N208" s="4">
        <f t="shared" si="33"/>
        <v>0.33333333333333331</v>
      </c>
      <c r="O208" t="str">
        <f t="shared" si="34"/>
        <v>Normal</v>
      </c>
      <c r="P208" t="str">
        <f t="shared" si="35"/>
        <v/>
      </c>
      <c r="Q208" t="str">
        <f t="shared" si="36"/>
        <v/>
      </c>
      <c r="S208">
        <f t="shared" si="37"/>
        <v>403.5</v>
      </c>
      <c r="T208" t="str">
        <f t="shared" si="38"/>
        <v>0-30 Days</v>
      </c>
      <c r="U208">
        <f t="shared" si="39"/>
        <v>680</v>
      </c>
      <c r="V208">
        <f>tbl_inventory[[#This Row],[Units_Sold]]*tbl_inventory[[#This Row],[Revenue]]</f>
        <v>35851740</v>
      </c>
    </row>
    <row r="209" spans="1:22" x14ac:dyDescent="0.25">
      <c r="A209" s="2" t="s">
        <v>18</v>
      </c>
      <c r="B209" t="s">
        <v>42</v>
      </c>
      <c r="C209" t="s">
        <v>46</v>
      </c>
      <c r="D209" t="s">
        <v>66</v>
      </c>
      <c r="E209" s="2">
        <v>45748</v>
      </c>
      <c r="F209" s="3">
        <v>206</v>
      </c>
      <c r="G209">
        <v>23</v>
      </c>
      <c r="H209">
        <v>183</v>
      </c>
      <c r="I209">
        <v>40</v>
      </c>
      <c r="J209">
        <v>60</v>
      </c>
      <c r="K209">
        <f t="shared" si="30"/>
        <v>1380</v>
      </c>
      <c r="L209">
        <f t="shared" si="31"/>
        <v>920</v>
      </c>
      <c r="M209">
        <f t="shared" si="32"/>
        <v>460</v>
      </c>
      <c r="N209" s="4">
        <f t="shared" si="33"/>
        <v>0.33333333333333331</v>
      </c>
      <c r="O209" t="str">
        <f t="shared" si="34"/>
        <v>Normal</v>
      </c>
      <c r="P209" t="str">
        <f t="shared" si="35"/>
        <v/>
      </c>
      <c r="Q209" t="str">
        <f t="shared" si="36"/>
        <v/>
      </c>
      <c r="S209">
        <f t="shared" si="37"/>
        <v>194.5</v>
      </c>
      <c r="T209" t="str">
        <f t="shared" si="38"/>
        <v>60-90 Days</v>
      </c>
      <c r="U209">
        <f t="shared" si="39"/>
        <v>7320</v>
      </c>
      <c r="V209">
        <f>tbl_inventory[[#This Row],[Units_Sold]]*tbl_inventory[[#This Row],[Revenue]]</f>
        <v>31740</v>
      </c>
    </row>
    <row r="210" spans="1:22" x14ac:dyDescent="0.25">
      <c r="A210" s="2" t="s">
        <v>18</v>
      </c>
      <c r="B210" t="s">
        <v>42</v>
      </c>
      <c r="C210" t="s">
        <v>46</v>
      </c>
      <c r="D210" t="s">
        <v>66</v>
      </c>
      <c r="E210" s="2">
        <v>45778</v>
      </c>
      <c r="F210" s="3">
        <v>452</v>
      </c>
      <c r="G210">
        <v>428</v>
      </c>
      <c r="H210">
        <v>24</v>
      </c>
      <c r="I210">
        <v>40</v>
      </c>
      <c r="J210">
        <v>60</v>
      </c>
      <c r="K210">
        <f t="shared" si="30"/>
        <v>25680</v>
      </c>
      <c r="L210">
        <f t="shared" si="31"/>
        <v>17120</v>
      </c>
      <c r="M210">
        <f t="shared" si="32"/>
        <v>8560</v>
      </c>
      <c r="N210" s="4">
        <f t="shared" si="33"/>
        <v>0.33333333333333331</v>
      </c>
      <c r="O210" t="str">
        <f t="shared" si="34"/>
        <v>Normal</v>
      </c>
      <c r="P210" t="str">
        <f t="shared" si="35"/>
        <v/>
      </c>
      <c r="Q210" t="str">
        <f t="shared" si="36"/>
        <v/>
      </c>
      <c r="S210">
        <f t="shared" si="37"/>
        <v>238</v>
      </c>
      <c r="T210" t="str">
        <f t="shared" si="38"/>
        <v>0-30 Days</v>
      </c>
      <c r="U210">
        <f t="shared" si="39"/>
        <v>960</v>
      </c>
      <c r="V210">
        <f>tbl_inventory[[#This Row],[Units_Sold]]*tbl_inventory[[#This Row],[Revenue]]</f>
        <v>10991040</v>
      </c>
    </row>
    <row r="211" spans="1:22" x14ac:dyDescent="0.25">
      <c r="A211" s="2" t="s">
        <v>18</v>
      </c>
      <c r="B211" t="s">
        <v>42</v>
      </c>
      <c r="C211" t="s">
        <v>46</v>
      </c>
      <c r="D211" t="s">
        <v>66</v>
      </c>
      <c r="E211" s="2">
        <v>45809</v>
      </c>
      <c r="F211" s="3">
        <v>411</v>
      </c>
      <c r="G211">
        <v>178</v>
      </c>
      <c r="H211">
        <v>233</v>
      </c>
      <c r="I211">
        <v>40</v>
      </c>
      <c r="J211">
        <v>60</v>
      </c>
      <c r="K211">
        <f t="shared" si="30"/>
        <v>10680</v>
      </c>
      <c r="L211">
        <f t="shared" si="31"/>
        <v>7120</v>
      </c>
      <c r="M211">
        <f t="shared" si="32"/>
        <v>3560</v>
      </c>
      <c r="N211" s="4">
        <f t="shared" si="33"/>
        <v>0.33333333333333331</v>
      </c>
      <c r="O211" t="str">
        <f t="shared" si="34"/>
        <v>Normal</v>
      </c>
      <c r="P211" t="str">
        <f t="shared" si="35"/>
        <v/>
      </c>
      <c r="Q211" t="str">
        <f t="shared" si="36"/>
        <v/>
      </c>
      <c r="S211">
        <f t="shared" si="37"/>
        <v>322</v>
      </c>
      <c r="T211" t="str">
        <f t="shared" si="38"/>
        <v>90+ Days</v>
      </c>
      <c r="U211">
        <f t="shared" si="39"/>
        <v>9320</v>
      </c>
      <c r="V211">
        <f>tbl_inventory[[#This Row],[Units_Sold]]*tbl_inventory[[#This Row],[Revenue]]</f>
        <v>1901040</v>
      </c>
    </row>
    <row r="212" spans="1:22" x14ac:dyDescent="0.25">
      <c r="A212" s="2" t="s">
        <v>18</v>
      </c>
      <c r="B212" t="s">
        <v>42</v>
      </c>
      <c r="C212" t="s">
        <v>46</v>
      </c>
      <c r="D212" t="s">
        <v>67</v>
      </c>
      <c r="E212" s="2">
        <v>45658</v>
      </c>
      <c r="F212" s="3">
        <v>515</v>
      </c>
      <c r="G212">
        <v>236</v>
      </c>
      <c r="H212">
        <v>279</v>
      </c>
      <c r="I212">
        <v>40</v>
      </c>
      <c r="J212">
        <v>60</v>
      </c>
      <c r="K212">
        <f t="shared" si="30"/>
        <v>14160</v>
      </c>
      <c r="L212">
        <f t="shared" si="31"/>
        <v>9440</v>
      </c>
      <c r="M212">
        <f t="shared" si="32"/>
        <v>4720</v>
      </c>
      <c r="N212" s="4">
        <f t="shared" si="33"/>
        <v>0.33333333333333331</v>
      </c>
      <c r="O212" t="str">
        <f t="shared" si="34"/>
        <v>Normal</v>
      </c>
      <c r="P212" t="str">
        <f t="shared" si="35"/>
        <v/>
      </c>
      <c r="Q212" t="str">
        <f t="shared" si="36"/>
        <v/>
      </c>
      <c r="S212">
        <f t="shared" si="37"/>
        <v>397</v>
      </c>
      <c r="T212" t="str">
        <f t="shared" si="38"/>
        <v>90+ Days</v>
      </c>
      <c r="U212">
        <f t="shared" si="39"/>
        <v>11160</v>
      </c>
      <c r="V212">
        <f>tbl_inventory[[#This Row],[Units_Sold]]*tbl_inventory[[#This Row],[Revenue]]</f>
        <v>3341760</v>
      </c>
    </row>
    <row r="213" spans="1:22" x14ac:dyDescent="0.25">
      <c r="A213" s="2" t="s">
        <v>18</v>
      </c>
      <c r="B213" t="s">
        <v>42</v>
      </c>
      <c r="C213" t="s">
        <v>46</v>
      </c>
      <c r="D213" t="s">
        <v>67</v>
      </c>
      <c r="E213" s="2">
        <v>45689</v>
      </c>
      <c r="F213" s="3">
        <v>263</v>
      </c>
      <c r="G213">
        <v>232</v>
      </c>
      <c r="H213">
        <v>31</v>
      </c>
      <c r="I213">
        <v>40</v>
      </c>
      <c r="J213">
        <v>60</v>
      </c>
      <c r="K213">
        <f t="shared" si="30"/>
        <v>13920</v>
      </c>
      <c r="L213">
        <f t="shared" si="31"/>
        <v>9280</v>
      </c>
      <c r="M213">
        <f t="shared" si="32"/>
        <v>4640</v>
      </c>
      <c r="N213" s="4">
        <f t="shared" si="33"/>
        <v>0.33333333333333331</v>
      </c>
      <c r="O213" t="str">
        <f t="shared" si="34"/>
        <v>Normal</v>
      </c>
      <c r="P213" t="str">
        <f t="shared" si="35"/>
        <v/>
      </c>
      <c r="Q213" t="str">
        <f t="shared" si="36"/>
        <v/>
      </c>
      <c r="S213">
        <f t="shared" si="37"/>
        <v>147</v>
      </c>
      <c r="T213" t="str">
        <f t="shared" si="38"/>
        <v>0-30 Days</v>
      </c>
      <c r="U213">
        <f t="shared" si="39"/>
        <v>1240</v>
      </c>
      <c r="V213">
        <f>tbl_inventory[[#This Row],[Units_Sold]]*tbl_inventory[[#This Row],[Revenue]]</f>
        <v>3229440</v>
      </c>
    </row>
    <row r="214" spans="1:22" x14ac:dyDescent="0.25">
      <c r="A214" s="2" t="s">
        <v>18</v>
      </c>
      <c r="B214" t="s">
        <v>42</v>
      </c>
      <c r="C214" t="s">
        <v>46</v>
      </c>
      <c r="D214" t="s">
        <v>67</v>
      </c>
      <c r="E214" s="2">
        <v>45717</v>
      </c>
      <c r="F214" s="3">
        <v>244</v>
      </c>
      <c r="G214">
        <v>146</v>
      </c>
      <c r="H214">
        <v>98</v>
      </c>
      <c r="I214">
        <v>40</v>
      </c>
      <c r="J214">
        <v>60</v>
      </c>
      <c r="K214">
        <f t="shared" si="30"/>
        <v>8760</v>
      </c>
      <c r="L214">
        <f t="shared" si="31"/>
        <v>5840</v>
      </c>
      <c r="M214">
        <f t="shared" si="32"/>
        <v>2920</v>
      </c>
      <c r="N214" s="4">
        <f t="shared" si="33"/>
        <v>0.33333333333333331</v>
      </c>
      <c r="O214" t="str">
        <f t="shared" si="34"/>
        <v>Normal</v>
      </c>
      <c r="P214" t="str">
        <f t="shared" si="35"/>
        <v/>
      </c>
      <c r="Q214" t="str">
        <f t="shared" si="36"/>
        <v/>
      </c>
      <c r="S214">
        <f t="shared" si="37"/>
        <v>171</v>
      </c>
      <c r="T214" t="str">
        <f t="shared" si="38"/>
        <v>30-60 Days</v>
      </c>
      <c r="U214">
        <f t="shared" si="39"/>
        <v>3920</v>
      </c>
      <c r="V214">
        <f>tbl_inventory[[#This Row],[Units_Sold]]*tbl_inventory[[#This Row],[Revenue]]</f>
        <v>1278960</v>
      </c>
    </row>
    <row r="215" spans="1:22" x14ac:dyDescent="0.25">
      <c r="A215" s="2" t="s">
        <v>18</v>
      </c>
      <c r="B215" t="s">
        <v>42</v>
      </c>
      <c r="C215" t="s">
        <v>46</v>
      </c>
      <c r="D215" t="s">
        <v>67</v>
      </c>
      <c r="E215" s="2">
        <v>45748</v>
      </c>
      <c r="F215" s="3">
        <v>505</v>
      </c>
      <c r="G215">
        <v>68</v>
      </c>
      <c r="H215">
        <v>437</v>
      </c>
      <c r="I215">
        <v>40</v>
      </c>
      <c r="J215">
        <v>60</v>
      </c>
      <c r="K215">
        <f t="shared" si="30"/>
        <v>4080</v>
      </c>
      <c r="L215">
        <f t="shared" si="31"/>
        <v>2720</v>
      </c>
      <c r="M215">
        <f t="shared" si="32"/>
        <v>1360</v>
      </c>
      <c r="N215" s="4">
        <f t="shared" si="33"/>
        <v>0.33333333333333331</v>
      </c>
      <c r="O215" t="str">
        <f t="shared" si="34"/>
        <v>Normal</v>
      </c>
      <c r="P215" t="str">
        <f t="shared" si="35"/>
        <v/>
      </c>
      <c r="Q215" t="str">
        <f t="shared" si="36"/>
        <v/>
      </c>
      <c r="S215">
        <f t="shared" si="37"/>
        <v>471</v>
      </c>
      <c r="T215" t="str">
        <f t="shared" si="38"/>
        <v>90+ Days</v>
      </c>
      <c r="U215">
        <f t="shared" si="39"/>
        <v>17480</v>
      </c>
      <c r="V215">
        <f>tbl_inventory[[#This Row],[Units_Sold]]*tbl_inventory[[#This Row],[Revenue]]</f>
        <v>277440</v>
      </c>
    </row>
    <row r="216" spans="1:22" x14ac:dyDescent="0.25">
      <c r="A216" s="2" t="s">
        <v>18</v>
      </c>
      <c r="B216" t="s">
        <v>42</v>
      </c>
      <c r="C216" t="s">
        <v>46</v>
      </c>
      <c r="D216" t="s">
        <v>67</v>
      </c>
      <c r="E216" s="2">
        <v>45778</v>
      </c>
      <c r="F216" s="3">
        <v>647</v>
      </c>
      <c r="G216">
        <v>628</v>
      </c>
      <c r="H216">
        <v>19</v>
      </c>
      <c r="I216">
        <v>40</v>
      </c>
      <c r="J216">
        <v>60</v>
      </c>
      <c r="K216">
        <f t="shared" si="30"/>
        <v>37680</v>
      </c>
      <c r="L216">
        <f t="shared" si="31"/>
        <v>25120</v>
      </c>
      <c r="M216">
        <f t="shared" si="32"/>
        <v>12560</v>
      </c>
      <c r="N216" s="4">
        <f t="shared" si="33"/>
        <v>0.33333333333333331</v>
      </c>
      <c r="O216" t="str">
        <f t="shared" si="34"/>
        <v>Normal</v>
      </c>
      <c r="P216" t="str">
        <f t="shared" si="35"/>
        <v/>
      </c>
      <c r="Q216" t="str">
        <f t="shared" si="36"/>
        <v/>
      </c>
      <c r="S216">
        <f t="shared" si="37"/>
        <v>333</v>
      </c>
      <c r="T216" t="str">
        <f t="shared" si="38"/>
        <v>0-30 Days</v>
      </c>
      <c r="U216">
        <f t="shared" si="39"/>
        <v>760</v>
      </c>
      <c r="V216">
        <f>tbl_inventory[[#This Row],[Units_Sold]]*tbl_inventory[[#This Row],[Revenue]]</f>
        <v>23663040</v>
      </c>
    </row>
    <row r="217" spans="1:22" x14ac:dyDescent="0.25">
      <c r="A217" s="2" t="s">
        <v>18</v>
      </c>
      <c r="B217" t="s">
        <v>42</v>
      </c>
      <c r="C217" t="s">
        <v>46</v>
      </c>
      <c r="D217" t="s">
        <v>67</v>
      </c>
      <c r="E217" s="2">
        <v>45809</v>
      </c>
      <c r="F217" s="3">
        <v>535</v>
      </c>
      <c r="G217">
        <v>330</v>
      </c>
      <c r="H217">
        <v>205</v>
      </c>
      <c r="I217">
        <v>40</v>
      </c>
      <c r="J217">
        <v>60</v>
      </c>
      <c r="K217">
        <f t="shared" si="30"/>
        <v>19800</v>
      </c>
      <c r="L217">
        <f t="shared" si="31"/>
        <v>13200</v>
      </c>
      <c r="M217">
        <f t="shared" si="32"/>
        <v>6600</v>
      </c>
      <c r="N217" s="4">
        <f t="shared" si="33"/>
        <v>0.33333333333333331</v>
      </c>
      <c r="O217" t="str">
        <f t="shared" si="34"/>
        <v>Normal</v>
      </c>
      <c r="P217" t="str">
        <f t="shared" si="35"/>
        <v/>
      </c>
      <c r="Q217" t="str">
        <f t="shared" si="36"/>
        <v/>
      </c>
      <c r="S217">
        <f t="shared" si="37"/>
        <v>370</v>
      </c>
      <c r="T217" t="str">
        <f t="shared" si="38"/>
        <v>90+ Days</v>
      </c>
      <c r="U217">
        <f t="shared" si="39"/>
        <v>8200</v>
      </c>
      <c r="V217">
        <f>tbl_inventory[[#This Row],[Units_Sold]]*tbl_inventory[[#This Row],[Revenue]]</f>
        <v>6534000</v>
      </c>
    </row>
    <row r="218" spans="1:22" x14ac:dyDescent="0.25">
      <c r="A218" s="2" t="s">
        <v>19</v>
      </c>
      <c r="B218" t="s">
        <v>54</v>
      </c>
      <c r="C218" t="s">
        <v>46</v>
      </c>
      <c r="D218" t="s">
        <v>64</v>
      </c>
      <c r="E218" s="2">
        <v>45658</v>
      </c>
      <c r="F218" s="3">
        <v>425</v>
      </c>
      <c r="G218">
        <v>260</v>
      </c>
      <c r="H218">
        <v>165</v>
      </c>
      <c r="I218">
        <v>90</v>
      </c>
      <c r="J218">
        <v>120</v>
      </c>
      <c r="K218">
        <f t="shared" si="30"/>
        <v>31200</v>
      </c>
      <c r="L218">
        <f t="shared" si="31"/>
        <v>23400</v>
      </c>
      <c r="M218">
        <f t="shared" si="32"/>
        <v>7800</v>
      </c>
      <c r="N218" s="4">
        <f t="shared" si="33"/>
        <v>0.25</v>
      </c>
      <c r="O218" t="str">
        <f t="shared" si="34"/>
        <v>Normal</v>
      </c>
      <c r="P218" t="str">
        <f t="shared" si="35"/>
        <v/>
      </c>
      <c r="Q218" t="str">
        <f t="shared" si="36"/>
        <v/>
      </c>
      <c r="S218">
        <f t="shared" si="37"/>
        <v>295</v>
      </c>
      <c r="T218" t="str">
        <f t="shared" si="38"/>
        <v>60-90 Days</v>
      </c>
      <c r="U218">
        <f t="shared" si="39"/>
        <v>14850</v>
      </c>
      <c r="V218">
        <f>tbl_inventory[[#This Row],[Units_Sold]]*tbl_inventory[[#This Row],[Revenue]]</f>
        <v>8112000</v>
      </c>
    </row>
    <row r="219" spans="1:22" x14ac:dyDescent="0.25">
      <c r="A219" s="2" t="s">
        <v>19</v>
      </c>
      <c r="B219" t="s">
        <v>54</v>
      </c>
      <c r="C219" t="s">
        <v>46</v>
      </c>
      <c r="D219" t="s">
        <v>64</v>
      </c>
      <c r="E219" s="2">
        <v>45689</v>
      </c>
      <c r="F219" s="3">
        <v>422</v>
      </c>
      <c r="G219">
        <v>140</v>
      </c>
      <c r="H219">
        <v>282</v>
      </c>
      <c r="I219">
        <v>90</v>
      </c>
      <c r="J219">
        <v>120</v>
      </c>
      <c r="K219">
        <f t="shared" si="30"/>
        <v>16800</v>
      </c>
      <c r="L219">
        <f t="shared" si="31"/>
        <v>12600</v>
      </c>
      <c r="M219">
        <f t="shared" si="32"/>
        <v>4200</v>
      </c>
      <c r="N219" s="4">
        <f t="shared" si="33"/>
        <v>0.25</v>
      </c>
      <c r="O219" t="str">
        <f t="shared" si="34"/>
        <v>Normal</v>
      </c>
      <c r="P219" t="str">
        <f t="shared" si="35"/>
        <v/>
      </c>
      <c r="Q219" t="str">
        <f t="shared" si="36"/>
        <v/>
      </c>
      <c r="S219">
        <f t="shared" si="37"/>
        <v>352</v>
      </c>
      <c r="T219" t="str">
        <f t="shared" si="38"/>
        <v>90+ Days</v>
      </c>
      <c r="U219">
        <f t="shared" si="39"/>
        <v>25380</v>
      </c>
      <c r="V219">
        <f>tbl_inventory[[#This Row],[Units_Sold]]*tbl_inventory[[#This Row],[Revenue]]</f>
        <v>2352000</v>
      </c>
    </row>
    <row r="220" spans="1:22" x14ac:dyDescent="0.25">
      <c r="A220" s="2" t="s">
        <v>19</v>
      </c>
      <c r="B220" t="s">
        <v>54</v>
      </c>
      <c r="C220" t="s">
        <v>46</v>
      </c>
      <c r="D220" t="s">
        <v>64</v>
      </c>
      <c r="E220" s="2">
        <v>45717</v>
      </c>
      <c r="F220" s="3">
        <v>720</v>
      </c>
      <c r="G220">
        <v>146</v>
      </c>
      <c r="H220">
        <v>574</v>
      </c>
      <c r="I220">
        <v>90</v>
      </c>
      <c r="J220">
        <v>120</v>
      </c>
      <c r="K220">
        <f t="shared" si="30"/>
        <v>17520</v>
      </c>
      <c r="L220">
        <f t="shared" si="31"/>
        <v>13140</v>
      </c>
      <c r="M220">
        <f t="shared" si="32"/>
        <v>4380</v>
      </c>
      <c r="N220" s="4">
        <f t="shared" si="33"/>
        <v>0.25</v>
      </c>
      <c r="O220" t="str">
        <f t="shared" si="34"/>
        <v>Normal</v>
      </c>
      <c r="P220" t="str">
        <f t="shared" si="35"/>
        <v/>
      </c>
      <c r="Q220" t="str">
        <f t="shared" si="36"/>
        <v/>
      </c>
      <c r="S220">
        <f t="shared" si="37"/>
        <v>647</v>
      </c>
      <c r="T220" t="str">
        <f t="shared" si="38"/>
        <v>90+ Days</v>
      </c>
      <c r="U220">
        <f t="shared" si="39"/>
        <v>51660</v>
      </c>
      <c r="V220">
        <f>tbl_inventory[[#This Row],[Units_Sold]]*tbl_inventory[[#This Row],[Revenue]]</f>
        <v>2557920</v>
      </c>
    </row>
    <row r="221" spans="1:22" x14ac:dyDescent="0.25">
      <c r="A221" s="2" t="s">
        <v>19</v>
      </c>
      <c r="B221" t="s">
        <v>54</v>
      </c>
      <c r="C221" t="s">
        <v>46</v>
      </c>
      <c r="D221" t="s">
        <v>64</v>
      </c>
      <c r="E221" s="2">
        <v>45748</v>
      </c>
      <c r="F221" s="3">
        <v>481</v>
      </c>
      <c r="G221">
        <v>230</v>
      </c>
      <c r="H221">
        <v>251</v>
      </c>
      <c r="I221">
        <v>90</v>
      </c>
      <c r="J221">
        <v>120</v>
      </c>
      <c r="K221">
        <f t="shared" si="30"/>
        <v>27600</v>
      </c>
      <c r="L221">
        <f t="shared" si="31"/>
        <v>20700</v>
      </c>
      <c r="M221">
        <f t="shared" si="32"/>
        <v>6900</v>
      </c>
      <c r="N221" s="4">
        <f t="shared" si="33"/>
        <v>0.25</v>
      </c>
      <c r="O221" t="str">
        <f t="shared" si="34"/>
        <v>Normal</v>
      </c>
      <c r="P221" t="str">
        <f t="shared" si="35"/>
        <v/>
      </c>
      <c r="Q221" t="str">
        <f t="shared" si="36"/>
        <v/>
      </c>
      <c r="S221">
        <f t="shared" si="37"/>
        <v>366</v>
      </c>
      <c r="T221" t="str">
        <f t="shared" si="38"/>
        <v>90+ Days</v>
      </c>
      <c r="U221">
        <f t="shared" si="39"/>
        <v>22590</v>
      </c>
      <c r="V221">
        <f>tbl_inventory[[#This Row],[Units_Sold]]*tbl_inventory[[#This Row],[Revenue]]</f>
        <v>6348000</v>
      </c>
    </row>
    <row r="222" spans="1:22" x14ac:dyDescent="0.25">
      <c r="A222" s="2" t="s">
        <v>19</v>
      </c>
      <c r="B222" t="s">
        <v>54</v>
      </c>
      <c r="C222" t="s">
        <v>46</v>
      </c>
      <c r="D222" t="s">
        <v>64</v>
      </c>
      <c r="E222" s="2">
        <v>45778</v>
      </c>
      <c r="F222" s="3">
        <v>749</v>
      </c>
      <c r="G222">
        <v>728</v>
      </c>
      <c r="H222">
        <v>21</v>
      </c>
      <c r="I222">
        <v>90</v>
      </c>
      <c r="J222">
        <v>120</v>
      </c>
      <c r="K222">
        <f t="shared" si="30"/>
        <v>87360</v>
      </c>
      <c r="L222">
        <f t="shared" si="31"/>
        <v>65520</v>
      </c>
      <c r="M222">
        <f t="shared" si="32"/>
        <v>21840</v>
      </c>
      <c r="N222" s="4">
        <f t="shared" si="33"/>
        <v>0.25</v>
      </c>
      <c r="O222" t="str">
        <f t="shared" si="34"/>
        <v>Normal</v>
      </c>
      <c r="P222" t="str">
        <f t="shared" si="35"/>
        <v/>
      </c>
      <c r="Q222" t="str">
        <f t="shared" si="36"/>
        <v/>
      </c>
      <c r="S222">
        <f t="shared" si="37"/>
        <v>385</v>
      </c>
      <c r="T222" t="str">
        <f t="shared" si="38"/>
        <v>0-30 Days</v>
      </c>
      <c r="U222">
        <f t="shared" si="39"/>
        <v>1890</v>
      </c>
      <c r="V222">
        <f>tbl_inventory[[#This Row],[Units_Sold]]*tbl_inventory[[#This Row],[Revenue]]</f>
        <v>63598080</v>
      </c>
    </row>
    <row r="223" spans="1:22" x14ac:dyDescent="0.25">
      <c r="A223" s="2" t="s">
        <v>19</v>
      </c>
      <c r="B223" t="s">
        <v>54</v>
      </c>
      <c r="C223" t="s">
        <v>46</v>
      </c>
      <c r="D223" t="s">
        <v>64</v>
      </c>
      <c r="E223" s="2">
        <v>45809</v>
      </c>
      <c r="F223" s="3">
        <v>526</v>
      </c>
      <c r="G223">
        <v>510</v>
      </c>
      <c r="H223">
        <v>16</v>
      </c>
      <c r="I223">
        <v>90</v>
      </c>
      <c r="J223">
        <v>120</v>
      </c>
      <c r="K223">
        <f t="shared" si="30"/>
        <v>61200</v>
      </c>
      <c r="L223">
        <f t="shared" si="31"/>
        <v>45900</v>
      </c>
      <c r="M223">
        <f t="shared" si="32"/>
        <v>15300</v>
      </c>
      <c r="N223" s="4">
        <f t="shared" si="33"/>
        <v>0.25</v>
      </c>
      <c r="O223" t="str">
        <f t="shared" si="34"/>
        <v>Normal</v>
      </c>
      <c r="P223" t="str">
        <f t="shared" si="35"/>
        <v/>
      </c>
      <c r="Q223" t="str">
        <f t="shared" si="36"/>
        <v/>
      </c>
      <c r="S223">
        <f t="shared" si="37"/>
        <v>271</v>
      </c>
      <c r="T223" t="str">
        <f t="shared" si="38"/>
        <v>0-30 Days</v>
      </c>
      <c r="U223">
        <f t="shared" si="39"/>
        <v>1440</v>
      </c>
      <c r="V223">
        <f>tbl_inventory[[#This Row],[Units_Sold]]*tbl_inventory[[#This Row],[Revenue]]</f>
        <v>31212000</v>
      </c>
    </row>
    <row r="224" spans="1:22" x14ac:dyDescent="0.25">
      <c r="A224" s="2" t="s">
        <v>19</v>
      </c>
      <c r="B224" t="s">
        <v>54</v>
      </c>
      <c r="C224" t="s">
        <v>46</v>
      </c>
      <c r="D224" t="s">
        <v>65</v>
      </c>
      <c r="E224" s="2">
        <v>45658</v>
      </c>
      <c r="F224" s="3">
        <v>776</v>
      </c>
      <c r="G224">
        <v>448</v>
      </c>
      <c r="H224">
        <v>328</v>
      </c>
      <c r="I224">
        <v>90</v>
      </c>
      <c r="J224">
        <v>120</v>
      </c>
      <c r="K224">
        <f t="shared" si="30"/>
        <v>53760</v>
      </c>
      <c r="L224">
        <f t="shared" si="31"/>
        <v>40320</v>
      </c>
      <c r="M224">
        <f t="shared" si="32"/>
        <v>13440</v>
      </c>
      <c r="N224" s="4">
        <f t="shared" si="33"/>
        <v>0.25</v>
      </c>
      <c r="O224" t="str">
        <f t="shared" si="34"/>
        <v>Normal</v>
      </c>
      <c r="P224" t="str">
        <f t="shared" si="35"/>
        <v/>
      </c>
      <c r="Q224" t="str">
        <f t="shared" si="36"/>
        <v/>
      </c>
      <c r="S224">
        <f t="shared" si="37"/>
        <v>552</v>
      </c>
      <c r="T224" t="str">
        <f t="shared" si="38"/>
        <v>90+ Days</v>
      </c>
      <c r="U224">
        <f t="shared" si="39"/>
        <v>29520</v>
      </c>
      <c r="V224">
        <f>tbl_inventory[[#This Row],[Units_Sold]]*tbl_inventory[[#This Row],[Revenue]]</f>
        <v>24084480</v>
      </c>
    </row>
    <row r="225" spans="1:22" x14ac:dyDescent="0.25">
      <c r="A225" s="2" t="s">
        <v>19</v>
      </c>
      <c r="B225" t="s">
        <v>54</v>
      </c>
      <c r="C225" t="s">
        <v>46</v>
      </c>
      <c r="D225" t="s">
        <v>65</v>
      </c>
      <c r="E225" s="2">
        <v>45689</v>
      </c>
      <c r="F225" s="3">
        <v>567</v>
      </c>
      <c r="G225">
        <v>260</v>
      </c>
      <c r="H225">
        <v>307</v>
      </c>
      <c r="I225">
        <v>90</v>
      </c>
      <c r="J225">
        <v>120</v>
      </c>
      <c r="K225">
        <f t="shared" si="30"/>
        <v>31200</v>
      </c>
      <c r="L225">
        <f t="shared" si="31"/>
        <v>23400</v>
      </c>
      <c r="M225">
        <f t="shared" si="32"/>
        <v>7800</v>
      </c>
      <c r="N225" s="4">
        <f t="shared" si="33"/>
        <v>0.25</v>
      </c>
      <c r="O225" t="str">
        <f t="shared" si="34"/>
        <v>Normal</v>
      </c>
      <c r="P225" t="str">
        <f t="shared" si="35"/>
        <v/>
      </c>
      <c r="Q225" t="str">
        <f t="shared" si="36"/>
        <v/>
      </c>
      <c r="S225">
        <f t="shared" si="37"/>
        <v>437</v>
      </c>
      <c r="T225" t="str">
        <f t="shared" si="38"/>
        <v>90+ Days</v>
      </c>
      <c r="U225">
        <f t="shared" si="39"/>
        <v>27630</v>
      </c>
      <c r="V225">
        <f>tbl_inventory[[#This Row],[Units_Sold]]*tbl_inventory[[#This Row],[Revenue]]</f>
        <v>8112000</v>
      </c>
    </row>
    <row r="226" spans="1:22" x14ac:dyDescent="0.25">
      <c r="A226" s="2" t="s">
        <v>19</v>
      </c>
      <c r="B226" t="s">
        <v>54</v>
      </c>
      <c r="C226" t="s">
        <v>46</v>
      </c>
      <c r="D226" t="s">
        <v>65</v>
      </c>
      <c r="E226" s="2">
        <v>45717</v>
      </c>
      <c r="F226" s="3">
        <v>687</v>
      </c>
      <c r="G226">
        <v>129</v>
      </c>
      <c r="H226">
        <v>558</v>
      </c>
      <c r="I226">
        <v>90</v>
      </c>
      <c r="J226">
        <v>120</v>
      </c>
      <c r="K226">
        <f t="shared" si="30"/>
        <v>15480</v>
      </c>
      <c r="L226">
        <f t="shared" si="31"/>
        <v>11610</v>
      </c>
      <c r="M226">
        <f t="shared" si="32"/>
        <v>3870</v>
      </c>
      <c r="N226" s="4">
        <f t="shared" si="33"/>
        <v>0.25</v>
      </c>
      <c r="O226" t="str">
        <f t="shared" si="34"/>
        <v>Normal</v>
      </c>
      <c r="P226" t="str">
        <f t="shared" si="35"/>
        <v/>
      </c>
      <c r="Q226" t="str">
        <f t="shared" si="36"/>
        <v/>
      </c>
      <c r="S226">
        <f t="shared" si="37"/>
        <v>622.5</v>
      </c>
      <c r="T226" t="str">
        <f t="shared" si="38"/>
        <v>90+ Days</v>
      </c>
      <c r="U226">
        <f t="shared" si="39"/>
        <v>50220</v>
      </c>
      <c r="V226">
        <f>tbl_inventory[[#This Row],[Units_Sold]]*tbl_inventory[[#This Row],[Revenue]]</f>
        <v>1996920</v>
      </c>
    </row>
    <row r="227" spans="1:22" x14ac:dyDescent="0.25">
      <c r="A227" s="2" t="s">
        <v>19</v>
      </c>
      <c r="B227" t="s">
        <v>54</v>
      </c>
      <c r="C227" t="s">
        <v>46</v>
      </c>
      <c r="D227" t="s">
        <v>65</v>
      </c>
      <c r="E227" s="2">
        <v>45748</v>
      </c>
      <c r="F227" s="3">
        <v>348</v>
      </c>
      <c r="G227">
        <v>341</v>
      </c>
      <c r="H227">
        <v>7</v>
      </c>
      <c r="I227">
        <v>90</v>
      </c>
      <c r="J227">
        <v>120</v>
      </c>
      <c r="K227">
        <f t="shared" si="30"/>
        <v>40920</v>
      </c>
      <c r="L227">
        <f t="shared" si="31"/>
        <v>30690</v>
      </c>
      <c r="M227">
        <f t="shared" si="32"/>
        <v>10230</v>
      </c>
      <c r="N227" s="4">
        <f t="shared" si="33"/>
        <v>0.25</v>
      </c>
      <c r="O227" t="str">
        <f t="shared" si="34"/>
        <v>Normal</v>
      </c>
      <c r="P227" t="str">
        <f t="shared" si="35"/>
        <v/>
      </c>
      <c r="Q227" t="str">
        <f t="shared" si="36"/>
        <v/>
      </c>
      <c r="S227">
        <f t="shared" si="37"/>
        <v>177.5</v>
      </c>
      <c r="T227" t="str">
        <f t="shared" si="38"/>
        <v>0-30 Days</v>
      </c>
      <c r="U227">
        <f t="shared" si="39"/>
        <v>630</v>
      </c>
      <c r="V227">
        <f>tbl_inventory[[#This Row],[Units_Sold]]*tbl_inventory[[#This Row],[Revenue]]</f>
        <v>13953720</v>
      </c>
    </row>
    <row r="228" spans="1:22" x14ac:dyDescent="0.25">
      <c r="A228" s="2" t="s">
        <v>19</v>
      </c>
      <c r="B228" t="s">
        <v>54</v>
      </c>
      <c r="C228" t="s">
        <v>46</v>
      </c>
      <c r="D228" t="s">
        <v>65</v>
      </c>
      <c r="E228" s="2">
        <v>45778</v>
      </c>
      <c r="F228" s="3">
        <v>272</v>
      </c>
      <c r="G228">
        <v>154</v>
      </c>
      <c r="H228">
        <v>118</v>
      </c>
      <c r="I228">
        <v>90</v>
      </c>
      <c r="J228">
        <v>120</v>
      </c>
      <c r="K228">
        <f t="shared" si="30"/>
        <v>18480</v>
      </c>
      <c r="L228">
        <f t="shared" si="31"/>
        <v>13860</v>
      </c>
      <c r="M228">
        <f t="shared" si="32"/>
        <v>4620</v>
      </c>
      <c r="N228" s="4">
        <f t="shared" si="33"/>
        <v>0.25</v>
      </c>
      <c r="O228" t="str">
        <f t="shared" si="34"/>
        <v>Normal</v>
      </c>
      <c r="P228" t="str">
        <f t="shared" si="35"/>
        <v/>
      </c>
      <c r="Q228" t="str">
        <f t="shared" si="36"/>
        <v/>
      </c>
      <c r="S228">
        <f t="shared" si="37"/>
        <v>195</v>
      </c>
      <c r="T228" t="str">
        <f t="shared" si="38"/>
        <v>60-90 Days</v>
      </c>
      <c r="U228">
        <f t="shared" si="39"/>
        <v>10620</v>
      </c>
      <c r="V228">
        <f>tbl_inventory[[#This Row],[Units_Sold]]*tbl_inventory[[#This Row],[Revenue]]</f>
        <v>2845920</v>
      </c>
    </row>
    <row r="229" spans="1:22" x14ac:dyDescent="0.25">
      <c r="A229" s="2" t="s">
        <v>19</v>
      </c>
      <c r="B229" t="s">
        <v>54</v>
      </c>
      <c r="C229" t="s">
        <v>46</v>
      </c>
      <c r="D229" t="s">
        <v>65</v>
      </c>
      <c r="E229" s="2">
        <v>45809</v>
      </c>
      <c r="F229" s="3">
        <v>667</v>
      </c>
      <c r="G229">
        <v>83</v>
      </c>
      <c r="H229">
        <v>584</v>
      </c>
      <c r="I229">
        <v>90</v>
      </c>
      <c r="J229">
        <v>120</v>
      </c>
      <c r="K229">
        <f t="shared" si="30"/>
        <v>9960</v>
      </c>
      <c r="L229">
        <f t="shared" si="31"/>
        <v>7470</v>
      </c>
      <c r="M229">
        <f t="shared" si="32"/>
        <v>2490</v>
      </c>
      <c r="N229" s="4">
        <f t="shared" si="33"/>
        <v>0.25</v>
      </c>
      <c r="O229" t="str">
        <f t="shared" si="34"/>
        <v>Normal</v>
      </c>
      <c r="P229" t="str">
        <f t="shared" si="35"/>
        <v/>
      </c>
      <c r="Q229" t="str">
        <f t="shared" si="36"/>
        <v/>
      </c>
      <c r="S229">
        <f t="shared" si="37"/>
        <v>625.5</v>
      </c>
      <c r="T229" t="str">
        <f t="shared" si="38"/>
        <v>90+ Days</v>
      </c>
      <c r="U229">
        <f t="shared" si="39"/>
        <v>52560</v>
      </c>
      <c r="V229">
        <f>tbl_inventory[[#This Row],[Units_Sold]]*tbl_inventory[[#This Row],[Revenue]]</f>
        <v>826680</v>
      </c>
    </row>
    <row r="230" spans="1:22" x14ac:dyDescent="0.25">
      <c r="A230" s="2" t="s">
        <v>19</v>
      </c>
      <c r="B230" t="s">
        <v>54</v>
      </c>
      <c r="C230" t="s">
        <v>46</v>
      </c>
      <c r="D230" t="s">
        <v>66</v>
      </c>
      <c r="E230" s="2">
        <v>45658</v>
      </c>
      <c r="F230" s="3">
        <v>336</v>
      </c>
      <c r="G230">
        <v>290</v>
      </c>
      <c r="H230">
        <v>46</v>
      </c>
      <c r="I230">
        <v>90</v>
      </c>
      <c r="J230">
        <v>120</v>
      </c>
      <c r="K230">
        <f t="shared" si="30"/>
        <v>34800</v>
      </c>
      <c r="L230">
        <f t="shared" si="31"/>
        <v>26100</v>
      </c>
      <c r="M230">
        <f t="shared" si="32"/>
        <v>8700</v>
      </c>
      <c r="N230" s="4">
        <f t="shared" si="33"/>
        <v>0.25</v>
      </c>
      <c r="O230" t="str">
        <f t="shared" si="34"/>
        <v>Normal</v>
      </c>
      <c r="P230" t="str">
        <f t="shared" si="35"/>
        <v/>
      </c>
      <c r="Q230" t="str">
        <f t="shared" si="36"/>
        <v/>
      </c>
      <c r="S230">
        <f t="shared" si="37"/>
        <v>191</v>
      </c>
      <c r="T230" t="str">
        <f t="shared" si="38"/>
        <v>0-30 Days</v>
      </c>
      <c r="U230">
        <f t="shared" si="39"/>
        <v>4140</v>
      </c>
      <c r="V230">
        <f>tbl_inventory[[#This Row],[Units_Sold]]*tbl_inventory[[#This Row],[Revenue]]</f>
        <v>10092000</v>
      </c>
    </row>
    <row r="231" spans="1:22" x14ac:dyDescent="0.25">
      <c r="A231" s="2" t="s">
        <v>19</v>
      </c>
      <c r="B231" t="s">
        <v>54</v>
      </c>
      <c r="C231" t="s">
        <v>46</v>
      </c>
      <c r="D231" t="s">
        <v>66</v>
      </c>
      <c r="E231" s="2">
        <v>45689</v>
      </c>
      <c r="F231" s="3">
        <v>240</v>
      </c>
      <c r="G231">
        <v>237</v>
      </c>
      <c r="H231">
        <v>3</v>
      </c>
      <c r="I231">
        <v>90</v>
      </c>
      <c r="J231">
        <v>120</v>
      </c>
      <c r="K231">
        <f t="shared" si="30"/>
        <v>28440</v>
      </c>
      <c r="L231">
        <f t="shared" si="31"/>
        <v>21330</v>
      </c>
      <c r="M231">
        <f t="shared" si="32"/>
        <v>7110</v>
      </c>
      <c r="N231" s="4">
        <f t="shared" si="33"/>
        <v>0.25</v>
      </c>
      <c r="O231" t="str">
        <f t="shared" si="34"/>
        <v>Normal</v>
      </c>
      <c r="P231" t="str">
        <f t="shared" si="35"/>
        <v/>
      </c>
      <c r="Q231" t="str">
        <f t="shared" si="36"/>
        <v/>
      </c>
      <c r="S231">
        <f t="shared" si="37"/>
        <v>121.5</v>
      </c>
      <c r="T231" t="str">
        <f t="shared" si="38"/>
        <v>0-30 Days</v>
      </c>
      <c r="U231">
        <f t="shared" si="39"/>
        <v>270</v>
      </c>
      <c r="V231">
        <f>tbl_inventory[[#This Row],[Units_Sold]]*tbl_inventory[[#This Row],[Revenue]]</f>
        <v>6740280</v>
      </c>
    </row>
    <row r="232" spans="1:22" x14ac:dyDescent="0.25">
      <c r="A232" s="2" t="s">
        <v>19</v>
      </c>
      <c r="B232" t="s">
        <v>54</v>
      </c>
      <c r="C232" t="s">
        <v>46</v>
      </c>
      <c r="D232" t="s">
        <v>66</v>
      </c>
      <c r="E232" s="2">
        <v>45717</v>
      </c>
      <c r="F232" s="3">
        <v>240</v>
      </c>
      <c r="G232">
        <v>33</v>
      </c>
      <c r="H232">
        <v>207</v>
      </c>
      <c r="I232">
        <v>90</v>
      </c>
      <c r="J232">
        <v>120</v>
      </c>
      <c r="K232">
        <f t="shared" si="30"/>
        <v>3960</v>
      </c>
      <c r="L232">
        <f t="shared" si="31"/>
        <v>2970</v>
      </c>
      <c r="M232">
        <f t="shared" si="32"/>
        <v>990</v>
      </c>
      <c r="N232" s="4">
        <f t="shared" si="33"/>
        <v>0.25</v>
      </c>
      <c r="O232" t="str">
        <f t="shared" si="34"/>
        <v>Normal</v>
      </c>
      <c r="P232" t="str">
        <f t="shared" si="35"/>
        <v/>
      </c>
      <c r="Q232" t="str">
        <f t="shared" si="36"/>
        <v/>
      </c>
      <c r="S232">
        <f t="shared" si="37"/>
        <v>223.5</v>
      </c>
      <c r="T232" t="str">
        <f t="shared" si="38"/>
        <v>90+ Days</v>
      </c>
      <c r="U232">
        <f t="shared" si="39"/>
        <v>18630</v>
      </c>
      <c r="V232">
        <f>tbl_inventory[[#This Row],[Units_Sold]]*tbl_inventory[[#This Row],[Revenue]]</f>
        <v>130680</v>
      </c>
    </row>
    <row r="233" spans="1:22" x14ac:dyDescent="0.25">
      <c r="A233" s="2" t="s">
        <v>19</v>
      </c>
      <c r="B233" t="s">
        <v>54</v>
      </c>
      <c r="C233" t="s">
        <v>46</v>
      </c>
      <c r="D233" t="s">
        <v>66</v>
      </c>
      <c r="E233" s="2">
        <v>45748</v>
      </c>
      <c r="F233" s="3">
        <v>594</v>
      </c>
      <c r="G233">
        <v>376</v>
      </c>
      <c r="H233">
        <v>218</v>
      </c>
      <c r="I233">
        <v>90</v>
      </c>
      <c r="J233">
        <v>120</v>
      </c>
      <c r="K233">
        <f t="shared" si="30"/>
        <v>45120</v>
      </c>
      <c r="L233">
        <f t="shared" si="31"/>
        <v>33840</v>
      </c>
      <c r="M233">
        <f t="shared" si="32"/>
        <v>11280</v>
      </c>
      <c r="N233" s="4">
        <f t="shared" si="33"/>
        <v>0.25</v>
      </c>
      <c r="O233" t="str">
        <f t="shared" si="34"/>
        <v>Normal</v>
      </c>
      <c r="P233" t="str">
        <f t="shared" si="35"/>
        <v/>
      </c>
      <c r="Q233" t="str">
        <f t="shared" si="36"/>
        <v/>
      </c>
      <c r="S233">
        <f t="shared" si="37"/>
        <v>406</v>
      </c>
      <c r="T233" t="str">
        <f t="shared" si="38"/>
        <v>90+ Days</v>
      </c>
      <c r="U233">
        <f t="shared" si="39"/>
        <v>19620</v>
      </c>
      <c r="V233">
        <f>tbl_inventory[[#This Row],[Units_Sold]]*tbl_inventory[[#This Row],[Revenue]]</f>
        <v>16965120</v>
      </c>
    </row>
    <row r="234" spans="1:22" x14ac:dyDescent="0.25">
      <c r="A234" s="2" t="s">
        <v>19</v>
      </c>
      <c r="B234" t="s">
        <v>54</v>
      </c>
      <c r="C234" t="s">
        <v>46</v>
      </c>
      <c r="D234" t="s">
        <v>66</v>
      </c>
      <c r="E234" s="2">
        <v>45778</v>
      </c>
      <c r="F234" s="3">
        <v>747</v>
      </c>
      <c r="G234">
        <v>68</v>
      </c>
      <c r="H234">
        <v>679</v>
      </c>
      <c r="I234">
        <v>90</v>
      </c>
      <c r="J234">
        <v>120</v>
      </c>
      <c r="K234">
        <f t="shared" si="30"/>
        <v>8160</v>
      </c>
      <c r="L234">
        <f t="shared" si="31"/>
        <v>6120</v>
      </c>
      <c r="M234">
        <f t="shared" si="32"/>
        <v>2040</v>
      </c>
      <c r="N234" s="4">
        <f t="shared" si="33"/>
        <v>0.25</v>
      </c>
      <c r="O234" t="str">
        <f t="shared" si="34"/>
        <v>Normal</v>
      </c>
      <c r="P234" t="str">
        <f t="shared" si="35"/>
        <v/>
      </c>
      <c r="Q234" t="str">
        <f t="shared" si="36"/>
        <v/>
      </c>
      <c r="S234">
        <f t="shared" si="37"/>
        <v>713</v>
      </c>
      <c r="T234" t="str">
        <f t="shared" si="38"/>
        <v>90+ Days</v>
      </c>
      <c r="U234">
        <f t="shared" si="39"/>
        <v>61110</v>
      </c>
      <c r="V234">
        <f>tbl_inventory[[#This Row],[Units_Sold]]*tbl_inventory[[#This Row],[Revenue]]</f>
        <v>554880</v>
      </c>
    </row>
    <row r="235" spans="1:22" x14ac:dyDescent="0.25">
      <c r="A235" s="2" t="s">
        <v>19</v>
      </c>
      <c r="B235" t="s">
        <v>54</v>
      </c>
      <c r="C235" t="s">
        <v>46</v>
      </c>
      <c r="D235" t="s">
        <v>66</v>
      </c>
      <c r="E235" s="2">
        <v>45809</v>
      </c>
      <c r="F235" s="3">
        <v>585</v>
      </c>
      <c r="G235">
        <v>430</v>
      </c>
      <c r="H235">
        <v>155</v>
      </c>
      <c r="I235">
        <v>90</v>
      </c>
      <c r="J235">
        <v>120</v>
      </c>
      <c r="K235">
        <f t="shared" si="30"/>
        <v>51600</v>
      </c>
      <c r="L235">
        <f t="shared" si="31"/>
        <v>38700</v>
      </c>
      <c r="M235">
        <f t="shared" si="32"/>
        <v>12900</v>
      </c>
      <c r="N235" s="4">
        <f t="shared" si="33"/>
        <v>0.25</v>
      </c>
      <c r="O235" t="str">
        <f t="shared" si="34"/>
        <v>Normal</v>
      </c>
      <c r="P235" t="str">
        <f t="shared" si="35"/>
        <v/>
      </c>
      <c r="Q235" t="str">
        <f t="shared" si="36"/>
        <v/>
      </c>
      <c r="S235">
        <f t="shared" si="37"/>
        <v>370</v>
      </c>
      <c r="T235" t="str">
        <f t="shared" si="38"/>
        <v>60-90 Days</v>
      </c>
      <c r="U235">
        <f t="shared" si="39"/>
        <v>13950</v>
      </c>
      <c r="V235">
        <f>tbl_inventory[[#This Row],[Units_Sold]]*tbl_inventory[[#This Row],[Revenue]]</f>
        <v>22188000</v>
      </c>
    </row>
    <row r="236" spans="1:22" x14ac:dyDescent="0.25">
      <c r="A236" s="2" t="s">
        <v>19</v>
      </c>
      <c r="B236" t="s">
        <v>54</v>
      </c>
      <c r="C236" t="s">
        <v>46</v>
      </c>
      <c r="D236" t="s">
        <v>67</v>
      </c>
      <c r="E236" s="2">
        <v>45658</v>
      </c>
      <c r="F236" s="3">
        <v>307</v>
      </c>
      <c r="G236">
        <v>219</v>
      </c>
      <c r="H236">
        <v>88</v>
      </c>
      <c r="I236">
        <v>90</v>
      </c>
      <c r="J236">
        <v>120</v>
      </c>
      <c r="K236">
        <f t="shared" si="30"/>
        <v>26280</v>
      </c>
      <c r="L236">
        <f t="shared" si="31"/>
        <v>19710</v>
      </c>
      <c r="M236">
        <f t="shared" si="32"/>
        <v>6570</v>
      </c>
      <c r="N236" s="4">
        <f t="shared" si="33"/>
        <v>0.25</v>
      </c>
      <c r="O236" t="str">
        <f t="shared" si="34"/>
        <v>Normal</v>
      </c>
      <c r="P236" t="str">
        <f t="shared" si="35"/>
        <v/>
      </c>
      <c r="Q236" t="str">
        <f t="shared" si="36"/>
        <v/>
      </c>
      <c r="S236">
        <f t="shared" si="37"/>
        <v>197.5</v>
      </c>
      <c r="T236" t="str">
        <f t="shared" si="38"/>
        <v>30-60 Days</v>
      </c>
      <c r="U236">
        <f t="shared" si="39"/>
        <v>7920</v>
      </c>
      <c r="V236">
        <f>tbl_inventory[[#This Row],[Units_Sold]]*tbl_inventory[[#This Row],[Revenue]]</f>
        <v>5755320</v>
      </c>
    </row>
    <row r="237" spans="1:22" x14ac:dyDescent="0.25">
      <c r="A237" s="2" t="s">
        <v>19</v>
      </c>
      <c r="B237" t="s">
        <v>54</v>
      </c>
      <c r="C237" t="s">
        <v>46</v>
      </c>
      <c r="D237" t="s">
        <v>67</v>
      </c>
      <c r="E237" s="2">
        <v>45689</v>
      </c>
      <c r="F237" s="3">
        <v>607</v>
      </c>
      <c r="G237">
        <v>359</v>
      </c>
      <c r="H237">
        <v>248</v>
      </c>
      <c r="I237">
        <v>90</v>
      </c>
      <c r="J237">
        <v>120</v>
      </c>
      <c r="K237">
        <f t="shared" si="30"/>
        <v>43080</v>
      </c>
      <c r="L237">
        <f t="shared" si="31"/>
        <v>32310</v>
      </c>
      <c r="M237">
        <f t="shared" si="32"/>
        <v>10770</v>
      </c>
      <c r="N237" s="4">
        <f t="shared" si="33"/>
        <v>0.25</v>
      </c>
      <c r="O237" t="str">
        <f t="shared" si="34"/>
        <v>Normal</v>
      </c>
      <c r="P237" t="str">
        <f t="shared" si="35"/>
        <v/>
      </c>
      <c r="Q237" t="str">
        <f t="shared" si="36"/>
        <v/>
      </c>
      <c r="S237">
        <f t="shared" si="37"/>
        <v>427.5</v>
      </c>
      <c r="T237" t="str">
        <f t="shared" si="38"/>
        <v>90+ Days</v>
      </c>
      <c r="U237">
        <f t="shared" si="39"/>
        <v>22320</v>
      </c>
      <c r="V237">
        <f>tbl_inventory[[#This Row],[Units_Sold]]*tbl_inventory[[#This Row],[Revenue]]</f>
        <v>15465720</v>
      </c>
    </row>
    <row r="238" spans="1:22" x14ac:dyDescent="0.25">
      <c r="A238" s="2" t="s">
        <v>19</v>
      </c>
      <c r="B238" t="s">
        <v>54</v>
      </c>
      <c r="C238" t="s">
        <v>46</v>
      </c>
      <c r="D238" t="s">
        <v>67</v>
      </c>
      <c r="E238" s="2">
        <v>45717</v>
      </c>
      <c r="F238" s="3">
        <v>634</v>
      </c>
      <c r="G238">
        <v>471</v>
      </c>
      <c r="H238">
        <v>163</v>
      </c>
      <c r="I238">
        <v>90</v>
      </c>
      <c r="J238">
        <v>120</v>
      </c>
      <c r="K238">
        <f t="shared" si="30"/>
        <v>56520</v>
      </c>
      <c r="L238">
        <f t="shared" si="31"/>
        <v>42390</v>
      </c>
      <c r="M238">
        <f t="shared" si="32"/>
        <v>14130</v>
      </c>
      <c r="N238" s="4">
        <f t="shared" si="33"/>
        <v>0.25</v>
      </c>
      <c r="O238" t="str">
        <f t="shared" si="34"/>
        <v>Normal</v>
      </c>
      <c r="P238" t="str">
        <f t="shared" si="35"/>
        <v/>
      </c>
      <c r="Q238" t="str">
        <f t="shared" si="36"/>
        <v/>
      </c>
      <c r="S238">
        <f t="shared" si="37"/>
        <v>398.5</v>
      </c>
      <c r="T238" t="str">
        <f t="shared" si="38"/>
        <v>60-90 Days</v>
      </c>
      <c r="U238">
        <f t="shared" si="39"/>
        <v>14670</v>
      </c>
      <c r="V238">
        <f>tbl_inventory[[#This Row],[Units_Sold]]*tbl_inventory[[#This Row],[Revenue]]</f>
        <v>26620920</v>
      </c>
    </row>
    <row r="239" spans="1:22" x14ac:dyDescent="0.25">
      <c r="A239" s="2" t="s">
        <v>19</v>
      </c>
      <c r="B239" t="s">
        <v>54</v>
      </c>
      <c r="C239" t="s">
        <v>46</v>
      </c>
      <c r="D239" t="s">
        <v>67</v>
      </c>
      <c r="E239" s="2">
        <v>45748</v>
      </c>
      <c r="F239" s="3">
        <v>566</v>
      </c>
      <c r="G239">
        <v>507</v>
      </c>
      <c r="H239">
        <v>59</v>
      </c>
      <c r="I239">
        <v>90</v>
      </c>
      <c r="J239">
        <v>120</v>
      </c>
      <c r="K239">
        <f t="shared" si="30"/>
        <v>60840</v>
      </c>
      <c r="L239">
        <f t="shared" si="31"/>
        <v>45630</v>
      </c>
      <c r="M239">
        <f t="shared" si="32"/>
        <v>15210</v>
      </c>
      <c r="N239" s="4">
        <f t="shared" si="33"/>
        <v>0.25</v>
      </c>
      <c r="O239" t="str">
        <f t="shared" si="34"/>
        <v>Normal</v>
      </c>
      <c r="P239" t="str">
        <f t="shared" si="35"/>
        <v/>
      </c>
      <c r="Q239" t="str">
        <f t="shared" si="36"/>
        <v/>
      </c>
      <c r="S239">
        <f t="shared" si="37"/>
        <v>312.5</v>
      </c>
      <c r="T239" t="str">
        <f t="shared" si="38"/>
        <v>30-60 Days</v>
      </c>
      <c r="U239">
        <f t="shared" si="39"/>
        <v>5310</v>
      </c>
      <c r="V239">
        <f>tbl_inventory[[#This Row],[Units_Sold]]*tbl_inventory[[#This Row],[Revenue]]</f>
        <v>30845880</v>
      </c>
    </row>
    <row r="240" spans="1:22" x14ac:dyDescent="0.25">
      <c r="A240" s="2" t="s">
        <v>19</v>
      </c>
      <c r="B240" t="s">
        <v>54</v>
      </c>
      <c r="C240" t="s">
        <v>46</v>
      </c>
      <c r="D240" t="s">
        <v>67</v>
      </c>
      <c r="E240" s="2">
        <v>45778</v>
      </c>
      <c r="F240" s="3">
        <v>332</v>
      </c>
      <c r="G240">
        <v>168</v>
      </c>
      <c r="H240">
        <v>164</v>
      </c>
      <c r="I240">
        <v>90</v>
      </c>
      <c r="J240">
        <v>120</v>
      </c>
      <c r="K240">
        <f t="shared" si="30"/>
        <v>20160</v>
      </c>
      <c r="L240">
        <f t="shared" si="31"/>
        <v>15120</v>
      </c>
      <c r="M240">
        <f t="shared" si="32"/>
        <v>5040</v>
      </c>
      <c r="N240" s="4">
        <f t="shared" si="33"/>
        <v>0.25</v>
      </c>
      <c r="O240" t="str">
        <f t="shared" si="34"/>
        <v>Normal</v>
      </c>
      <c r="P240" t="str">
        <f t="shared" si="35"/>
        <v/>
      </c>
      <c r="Q240" t="str">
        <f t="shared" si="36"/>
        <v/>
      </c>
      <c r="S240">
        <f t="shared" si="37"/>
        <v>248</v>
      </c>
      <c r="T240" t="str">
        <f t="shared" si="38"/>
        <v>60-90 Days</v>
      </c>
      <c r="U240">
        <f t="shared" si="39"/>
        <v>14760</v>
      </c>
      <c r="V240">
        <f>tbl_inventory[[#This Row],[Units_Sold]]*tbl_inventory[[#This Row],[Revenue]]</f>
        <v>3386880</v>
      </c>
    </row>
    <row r="241" spans="1:22" x14ac:dyDescent="0.25">
      <c r="A241" s="2" t="s">
        <v>19</v>
      </c>
      <c r="B241" t="s">
        <v>54</v>
      </c>
      <c r="C241" t="s">
        <v>46</v>
      </c>
      <c r="D241" t="s">
        <v>67</v>
      </c>
      <c r="E241" s="2">
        <v>45809</v>
      </c>
      <c r="F241" s="3">
        <v>549</v>
      </c>
      <c r="G241">
        <v>130</v>
      </c>
      <c r="H241">
        <v>419</v>
      </c>
      <c r="I241">
        <v>90</v>
      </c>
      <c r="J241">
        <v>120</v>
      </c>
      <c r="K241">
        <f t="shared" si="30"/>
        <v>15600</v>
      </c>
      <c r="L241">
        <f t="shared" si="31"/>
        <v>11700</v>
      </c>
      <c r="M241">
        <f t="shared" si="32"/>
        <v>3900</v>
      </c>
      <c r="N241" s="4">
        <f t="shared" si="33"/>
        <v>0.25</v>
      </c>
      <c r="O241" t="str">
        <f t="shared" si="34"/>
        <v>Normal</v>
      </c>
      <c r="P241" t="str">
        <f t="shared" si="35"/>
        <v/>
      </c>
      <c r="Q241" t="str">
        <f t="shared" si="36"/>
        <v/>
      </c>
      <c r="S241">
        <f t="shared" si="37"/>
        <v>484</v>
      </c>
      <c r="T241" t="str">
        <f t="shared" si="38"/>
        <v>90+ Days</v>
      </c>
      <c r="U241">
        <f t="shared" si="39"/>
        <v>37710</v>
      </c>
      <c r="V241">
        <f>tbl_inventory[[#This Row],[Units_Sold]]*tbl_inventory[[#This Row],[Revenue]]</f>
        <v>2028000</v>
      </c>
    </row>
    <row r="242" spans="1:22" x14ac:dyDescent="0.25">
      <c r="A242" s="2" t="s">
        <v>20</v>
      </c>
      <c r="B242" t="s">
        <v>53</v>
      </c>
      <c r="C242" t="s">
        <v>46</v>
      </c>
      <c r="D242" t="s">
        <v>64</v>
      </c>
      <c r="E242" s="2">
        <v>45658</v>
      </c>
      <c r="F242" s="3">
        <v>667</v>
      </c>
      <c r="G242">
        <v>276</v>
      </c>
      <c r="H242">
        <v>391</v>
      </c>
      <c r="I242">
        <v>35</v>
      </c>
      <c r="J242">
        <v>55</v>
      </c>
      <c r="K242">
        <f t="shared" si="30"/>
        <v>15180</v>
      </c>
      <c r="L242">
        <f t="shared" si="31"/>
        <v>9660</v>
      </c>
      <c r="M242">
        <f t="shared" si="32"/>
        <v>5520</v>
      </c>
      <c r="N242" s="4">
        <f t="shared" si="33"/>
        <v>0.36363636363636365</v>
      </c>
      <c r="O242" t="str">
        <f t="shared" si="34"/>
        <v>Normal</v>
      </c>
      <c r="P242" t="str">
        <f t="shared" si="35"/>
        <v/>
      </c>
      <c r="Q242" t="str">
        <f t="shared" si="36"/>
        <v/>
      </c>
      <c r="S242">
        <f t="shared" si="37"/>
        <v>529</v>
      </c>
      <c r="T242" t="str">
        <f t="shared" si="38"/>
        <v>90+ Days</v>
      </c>
      <c r="U242">
        <f t="shared" si="39"/>
        <v>13685</v>
      </c>
      <c r="V242">
        <f>tbl_inventory[[#This Row],[Units_Sold]]*tbl_inventory[[#This Row],[Revenue]]</f>
        <v>4189680</v>
      </c>
    </row>
    <row r="243" spans="1:22" x14ac:dyDescent="0.25">
      <c r="A243" s="2" t="s">
        <v>20</v>
      </c>
      <c r="B243" t="s">
        <v>53</v>
      </c>
      <c r="C243" t="s">
        <v>46</v>
      </c>
      <c r="D243" t="s">
        <v>64</v>
      </c>
      <c r="E243" s="2">
        <v>45689</v>
      </c>
      <c r="F243" s="3">
        <v>485</v>
      </c>
      <c r="G243">
        <v>110</v>
      </c>
      <c r="H243">
        <v>375</v>
      </c>
      <c r="I243">
        <v>35</v>
      </c>
      <c r="J243">
        <v>55</v>
      </c>
      <c r="K243">
        <f t="shared" si="30"/>
        <v>6050</v>
      </c>
      <c r="L243">
        <f t="shared" si="31"/>
        <v>3850</v>
      </c>
      <c r="M243">
        <f t="shared" si="32"/>
        <v>2200</v>
      </c>
      <c r="N243" s="4">
        <f t="shared" si="33"/>
        <v>0.36363636363636365</v>
      </c>
      <c r="O243" t="str">
        <f t="shared" si="34"/>
        <v>Normal</v>
      </c>
      <c r="P243" t="str">
        <f t="shared" si="35"/>
        <v/>
      </c>
      <c r="Q243" t="str">
        <f t="shared" si="36"/>
        <v/>
      </c>
      <c r="S243">
        <f t="shared" si="37"/>
        <v>430</v>
      </c>
      <c r="T243" t="str">
        <f t="shared" si="38"/>
        <v>90+ Days</v>
      </c>
      <c r="U243">
        <f t="shared" si="39"/>
        <v>13125</v>
      </c>
      <c r="V243">
        <f>tbl_inventory[[#This Row],[Units_Sold]]*tbl_inventory[[#This Row],[Revenue]]</f>
        <v>665500</v>
      </c>
    </row>
    <row r="244" spans="1:22" x14ac:dyDescent="0.25">
      <c r="A244" s="2" t="s">
        <v>20</v>
      </c>
      <c r="B244" t="s">
        <v>53</v>
      </c>
      <c r="C244" t="s">
        <v>46</v>
      </c>
      <c r="D244" t="s">
        <v>64</v>
      </c>
      <c r="E244" s="2">
        <v>45717</v>
      </c>
      <c r="F244" s="3">
        <v>727</v>
      </c>
      <c r="G244">
        <v>465</v>
      </c>
      <c r="H244">
        <v>262</v>
      </c>
      <c r="I244">
        <v>35</v>
      </c>
      <c r="J244">
        <v>55</v>
      </c>
      <c r="K244">
        <f t="shared" si="30"/>
        <v>25575</v>
      </c>
      <c r="L244">
        <f t="shared" si="31"/>
        <v>16275</v>
      </c>
      <c r="M244">
        <f t="shared" si="32"/>
        <v>9300</v>
      </c>
      <c r="N244" s="4">
        <f t="shared" si="33"/>
        <v>0.36363636363636365</v>
      </c>
      <c r="O244" t="str">
        <f t="shared" si="34"/>
        <v>Normal</v>
      </c>
      <c r="P244" t="str">
        <f t="shared" si="35"/>
        <v/>
      </c>
      <c r="Q244" t="str">
        <f t="shared" si="36"/>
        <v/>
      </c>
      <c r="S244">
        <f t="shared" si="37"/>
        <v>494.5</v>
      </c>
      <c r="T244" t="str">
        <f t="shared" si="38"/>
        <v>90+ Days</v>
      </c>
      <c r="U244">
        <f t="shared" si="39"/>
        <v>9170</v>
      </c>
      <c r="V244">
        <f>tbl_inventory[[#This Row],[Units_Sold]]*tbl_inventory[[#This Row],[Revenue]]</f>
        <v>11892375</v>
      </c>
    </row>
    <row r="245" spans="1:22" x14ac:dyDescent="0.25">
      <c r="A245" s="2" t="s">
        <v>20</v>
      </c>
      <c r="B245" t="s">
        <v>53</v>
      </c>
      <c r="C245" t="s">
        <v>46</v>
      </c>
      <c r="D245" t="s">
        <v>64</v>
      </c>
      <c r="E245" s="2">
        <v>45748</v>
      </c>
      <c r="F245" s="3">
        <v>449</v>
      </c>
      <c r="G245">
        <v>155</v>
      </c>
      <c r="H245">
        <v>294</v>
      </c>
      <c r="I245">
        <v>35</v>
      </c>
      <c r="J245">
        <v>55</v>
      </c>
      <c r="K245">
        <f t="shared" si="30"/>
        <v>8525</v>
      </c>
      <c r="L245">
        <f t="shared" si="31"/>
        <v>5425</v>
      </c>
      <c r="M245">
        <f t="shared" si="32"/>
        <v>3100</v>
      </c>
      <c r="N245" s="4">
        <f t="shared" si="33"/>
        <v>0.36363636363636365</v>
      </c>
      <c r="O245" t="str">
        <f t="shared" si="34"/>
        <v>Normal</v>
      </c>
      <c r="P245" t="str">
        <f t="shared" si="35"/>
        <v/>
      </c>
      <c r="Q245" t="str">
        <f t="shared" si="36"/>
        <v/>
      </c>
      <c r="S245">
        <f t="shared" si="37"/>
        <v>371.5</v>
      </c>
      <c r="T245" t="str">
        <f t="shared" si="38"/>
        <v>90+ Days</v>
      </c>
      <c r="U245">
        <f t="shared" si="39"/>
        <v>10290</v>
      </c>
      <c r="V245">
        <f>tbl_inventory[[#This Row],[Units_Sold]]*tbl_inventory[[#This Row],[Revenue]]</f>
        <v>1321375</v>
      </c>
    </row>
    <row r="246" spans="1:22" x14ac:dyDescent="0.25">
      <c r="A246" s="2" t="s">
        <v>20</v>
      </c>
      <c r="B246" t="s">
        <v>53</v>
      </c>
      <c r="C246" t="s">
        <v>46</v>
      </c>
      <c r="D246" t="s">
        <v>64</v>
      </c>
      <c r="E246" s="2">
        <v>45778</v>
      </c>
      <c r="F246" s="3">
        <v>427</v>
      </c>
      <c r="G246">
        <v>161</v>
      </c>
      <c r="H246">
        <v>266</v>
      </c>
      <c r="I246">
        <v>35</v>
      </c>
      <c r="J246">
        <v>55</v>
      </c>
      <c r="K246">
        <f t="shared" si="30"/>
        <v>8855</v>
      </c>
      <c r="L246">
        <f t="shared" si="31"/>
        <v>5635</v>
      </c>
      <c r="M246">
        <f t="shared" si="32"/>
        <v>3220</v>
      </c>
      <c r="N246" s="4">
        <f t="shared" si="33"/>
        <v>0.36363636363636365</v>
      </c>
      <c r="O246" t="str">
        <f t="shared" si="34"/>
        <v>Normal</v>
      </c>
      <c r="P246" t="str">
        <f t="shared" si="35"/>
        <v/>
      </c>
      <c r="Q246" t="str">
        <f t="shared" si="36"/>
        <v/>
      </c>
      <c r="S246">
        <f t="shared" si="37"/>
        <v>346.5</v>
      </c>
      <c r="T246" t="str">
        <f t="shared" si="38"/>
        <v>90+ Days</v>
      </c>
      <c r="U246">
        <f t="shared" si="39"/>
        <v>9310</v>
      </c>
      <c r="V246">
        <f>tbl_inventory[[#This Row],[Units_Sold]]*tbl_inventory[[#This Row],[Revenue]]</f>
        <v>1425655</v>
      </c>
    </row>
    <row r="247" spans="1:22" x14ac:dyDescent="0.25">
      <c r="A247" s="2" t="s">
        <v>20</v>
      </c>
      <c r="B247" t="s">
        <v>53</v>
      </c>
      <c r="C247" t="s">
        <v>46</v>
      </c>
      <c r="D247" t="s">
        <v>64</v>
      </c>
      <c r="E247" s="2">
        <v>45809</v>
      </c>
      <c r="F247" s="3">
        <v>484</v>
      </c>
      <c r="G247">
        <v>44</v>
      </c>
      <c r="H247">
        <v>440</v>
      </c>
      <c r="I247">
        <v>35</v>
      </c>
      <c r="J247">
        <v>55</v>
      </c>
      <c r="K247">
        <f t="shared" si="30"/>
        <v>2420</v>
      </c>
      <c r="L247">
        <f t="shared" si="31"/>
        <v>1540</v>
      </c>
      <c r="M247">
        <f t="shared" si="32"/>
        <v>880</v>
      </c>
      <c r="N247" s="4">
        <f t="shared" si="33"/>
        <v>0.36363636363636365</v>
      </c>
      <c r="O247" t="str">
        <f t="shared" si="34"/>
        <v>Normal</v>
      </c>
      <c r="P247" t="str">
        <f t="shared" si="35"/>
        <v/>
      </c>
      <c r="Q247" t="str">
        <f t="shared" si="36"/>
        <v/>
      </c>
      <c r="S247">
        <f t="shared" si="37"/>
        <v>462</v>
      </c>
      <c r="T247" t="str">
        <f t="shared" si="38"/>
        <v>90+ Days</v>
      </c>
      <c r="U247">
        <f t="shared" si="39"/>
        <v>15400</v>
      </c>
      <c r="V247">
        <f>tbl_inventory[[#This Row],[Units_Sold]]*tbl_inventory[[#This Row],[Revenue]]</f>
        <v>106480</v>
      </c>
    </row>
    <row r="248" spans="1:22" x14ac:dyDescent="0.25">
      <c r="A248" s="2" t="s">
        <v>20</v>
      </c>
      <c r="B248" t="s">
        <v>53</v>
      </c>
      <c r="C248" t="s">
        <v>46</v>
      </c>
      <c r="D248" t="s">
        <v>65</v>
      </c>
      <c r="E248" s="2">
        <v>45658</v>
      </c>
      <c r="F248" s="3">
        <v>797</v>
      </c>
      <c r="G248">
        <v>535</v>
      </c>
      <c r="H248">
        <v>262</v>
      </c>
      <c r="I248">
        <v>35</v>
      </c>
      <c r="J248">
        <v>55</v>
      </c>
      <c r="K248">
        <f t="shared" si="30"/>
        <v>29425</v>
      </c>
      <c r="L248">
        <f t="shared" si="31"/>
        <v>18725</v>
      </c>
      <c r="M248">
        <f t="shared" si="32"/>
        <v>10700</v>
      </c>
      <c r="N248" s="4">
        <f t="shared" si="33"/>
        <v>0.36363636363636365</v>
      </c>
      <c r="O248" t="str">
        <f t="shared" si="34"/>
        <v>Normal</v>
      </c>
      <c r="P248" t="str">
        <f t="shared" si="35"/>
        <v/>
      </c>
      <c r="Q248" t="str">
        <f t="shared" si="36"/>
        <v/>
      </c>
      <c r="S248">
        <f t="shared" si="37"/>
        <v>529.5</v>
      </c>
      <c r="T248" t="str">
        <f t="shared" si="38"/>
        <v>90+ Days</v>
      </c>
      <c r="U248">
        <f t="shared" si="39"/>
        <v>9170</v>
      </c>
      <c r="V248">
        <f>tbl_inventory[[#This Row],[Units_Sold]]*tbl_inventory[[#This Row],[Revenue]]</f>
        <v>15742375</v>
      </c>
    </row>
    <row r="249" spans="1:22" x14ac:dyDescent="0.25">
      <c r="A249" s="2" t="s">
        <v>20</v>
      </c>
      <c r="B249" t="s">
        <v>53</v>
      </c>
      <c r="C249" t="s">
        <v>46</v>
      </c>
      <c r="D249" t="s">
        <v>65</v>
      </c>
      <c r="E249" s="2">
        <v>45689</v>
      </c>
      <c r="F249" s="3">
        <v>443</v>
      </c>
      <c r="G249">
        <v>296</v>
      </c>
      <c r="H249">
        <v>147</v>
      </c>
      <c r="I249">
        <v>35</v>
      </c>
      <c r="J249">
        <v>55</v>
      </c>
      <c r="K249">
        <f t="shared" si="30"/>
        <v>16280</v>
      </c>
      <c r="L249">
        <f t="shared" si="31"/>
        <v>10360</v>
      </c>
      <c r="M249">
        <f t="shared" si="32"/>
        <v>5920</v>
      </c>
      <c r="N249" s="4">
        <f t="shared" si="33"/>
        <v>0.36363636363636365</v>
      </c>
      <c r="O249" t="str">
        <f t="shared" si="34"/>
        <v>Normal</v>
      </c>
      <c r="P249" t="str">
        <f t="shared" si="35"/>
        <v/>
      </c>
      <c r="Q249" t="str">
        <f t="shared" si="36"/>
        <v/>
      </c>
      <c r="S249">
        <f t="shared" si="37"/>
        <v>295</v>
      </c>
      <c r="T249" t="str">
        <f t="shared" si="38"/>
        <v>60-90 Days</v>
      </c>
      <c r="U249">
        <f t="shared" si="39"/>
        <v>5145</v>
      </c>
      <c r="V249">
        <f>tbl_inventory[[#This Row],[Units_Sold]]*tbl_inventory[[#This Row],[Revenue]]</f>
        <v>4818880</v>
      </c>
    </row>
    <row r="250" spans="1:22" x14ac:dyDescent="0.25">
      <c r="A250" s="2" t="s">
        <v>20</v>
      </c>
      <c r="B250" t="s">
        <v>53</v>
      </c>
      <c r="C250" t="s">
        <v>46</v>
      </c>
      <c r="D250" t="s">
        <v>65</v>
      </c>
      <c r="E250" s="2">
        <v>45717</v>
      </c>
      <c r="F250" s="3">
        <v>224</v>
      </c>
      <c r="G250">
        <v>185</v>
      </c>
      <c r="H250">
        <v>39</v>
      </c>
      <c r="I250">
        <v>35</v>
      </c>
      <c r="J250">
        <v>55</v>
      </c>
      <c r="K250">
        <f t="shared" si="30"/>
        <v>10175</v>
      </c>
      <c r="L250">
        <f t="shared" si="31"/>
        <v>6475</v>
      </c>
      <c r="M250">
        <f t="shared" si="32"/>
        <v>3700</v>
      </c>
      <c r="N250" s="4">
        <f t="shared" si="33"/>
        <v>0.36363636363636365</v>
      </c>
      <c r="O250" t="str">
        <f t="shared" si="34"/>
        <v>Normal</v>
      </c>
      <c r="P250" t="str">
        <f t="shared" si="35"/>
        <v/>
      </c>
      <c r="Q250" t="str">
        <f t="shared" si="36"/>
        <v/>
      </c>
      <c r="S250">
        <f t="shared" si="37"/>
        <v>131.5</v>
      </c>
      <c r="T250" t="str">
        <f t="shared" si="38"/>
        <v>0-30 Days</v>
      </c>
      <c r="U250">
        <f t="shared" si="39"/>
        <v>1365</v>
      </c>
      <c r="V250">
        <f>tbl_inventory[[#This Row],[Units_Sold]]*tbl_inventory[[#This Row],[Revenue]]</f>
        <v>1882375</v>
      </c>
    </row>
    <row r="251" spans="1:22" x14ac:dyDescent="0.25">
      <c r="A251" s="2" t="s">
        <v>20</v>
      </c>
      <c r="B251" t="s">
        <v>53</v>
      </c>
      <c r="C251" t="s">
        <v>46</v>
      </c>
      <c r="D251" t="s">
        <v>65</v>
      </c>
      <c r="E251" s="2">
        <v>45748</v>
      </c>
      <c r="F251" s="3">
        <v>503</v>
      </c>
      <c r="G251">
        <v>190</v>
      </c>
      <c r="H251">
        <v>313</v>
      </c>
      <c r="I251">
        <v>35</v>
      </c>
      <c r="J251">
        <v>55</v>
      </c>
      <c r="K251">
        <f t="shared" si="30"/>
        <v>10450</v>
      </c>
      <c r="L251">
        <f t="shared" si="31"/>
        <v>6650</v>
      </c>
      <c r="M251">
        <f t="shared" si="32"/>
        <v>3800</v>
      </c>
      <c r="N251" s="4">
        <f t="shared" si="33"/>
        <v>0.36363636363636365</v>
      </c>
      <c r="O251" t="str">
        <f t="shared" si="34"/>
        <v>Normal</v>
      </c>
      <c r="P251" t="str">
        <f t="shared" si="35"/>
        <v/>
      </c>
      <c r="Q251" t="str">
        <f t="shared" si="36"/>
        <v/>
      </c>
      <c r="S251">
        <f t="shared" si="37"/>
        <v>408</v>
      </c>
      <c r="T251" t="str">
        <f t="shared" si="38"/>
        <v>90+ Days</v>
      </c>
      <c r="U251">
        <f t="shared" si="39"/>
        <v>10955</v>
      </c>
      <c r="V251">
        <f>tbl_inventory[[#This Row],[Units_Sold]]*tbl_inventory[[#This Row],[Revenue]]</f>
        <v>1985500</v>
      </c>
    </row>
    <row r="252" spans="1:22" x14ac:dyDescent="0.25">
      <c r="A252" s="2" t="s">
        <v>20</v>
      </c>
      <c r="B252" t="s">
        <v>53</v>
      </c>
      <c r="C252" t="s">
        <v>46</v>
      </c>
      <c r="D252" t="s">
        <v>65</v>
      </c>
      <c r="E252" s="2">
        <v>45778</v>
      </c>
      <c r="F252" s="3">
        <v>421</v>
      </c>
      <c r="G252">
        <v>262</v>
      </c>
      <c r="H252">
        <v>159</v>
      </c>
      <c r="I252">
        <v>35</v>
      </c>
      <c r="J252">
        <v>55</v>
      </c>
      <c r="K252">
        <f t="shared" si="30"/>
        <v>14410</v>
      </c>
      <c r="L252">
        <f t="shared" si="31"/>
        <v>9170</v>
      </c>
      <c r="M252">
        <f t="shared" si="32"/>
        <v>5240</v>
      </c>
      <c r="N252" s="4">
        <f t="shared" si="33"/>
        <v>0.36363636363636365</v>
      </c>
      <c r="O252" t="str">
        <f t="shared" si="34"/>
        <v>Normal</v>
      </c>
      <c r="P252" t="str">
        <f t="shared" si="35"/>
        <v/>
      </c>
      <c r="Q252" t="str">
        <f t="shared" si="36"/>
        <v/>
      </c>
      <c r="S252">
        <f t="shared" si="37"/>
        <v>290</v>
      </c>
      <c r="T252" t="str">
        <f t="shared" si="38"/>
        <v>60-90 Days</v>
      </c>
      <c r="U252">
        <f t="shared" si="39"/>
        <v>5565</v>
      </c>
      <c r="V252">
        <f>tbl_inventory[[#This Row],[Units_Sold]]*tbl_inventory[[#This Row],[Revenue]]</f>
        <v>3775420</v>
      </c>
    </row>
    <row r="253" spans="1:22" x14ac:dyDescent="0.25">
      <c r="A253" s="2" t="s">
        <v>20</v>
      </c>
      <c r="B253" t="s">
        <v>53</v>
      </c>
      <c r="C253" t="s">
        <v>46</v>
      </c>
      <c r="D253" t="s">
        <v>65</v>
      </c>
      <c r="E253" s="2">
        <v>45809</v>
      </c>
      <c r="F253" s="3">
        <v>499</v>
      </c>
      <c r="G253">
        <v>489</v>
      </c>
      <c r="H253">
        <v>10</v>
      </c>
      <c r="I253">
        <v>35</v>
      </c>
      <c r="J253">
        <v>55</v>
      </c>
      <c r="K253">
        <f t="shared" si="30"/>
        <v>26895</v>
      </c>
      <c r="L253">
        <f t="shared" si="31"/>
        <v>17115</v>
      </c>
      <c r="M253">
        <f t="shared" si="32"/>
        <v>9780</v>
      </c>
      <c r="N253" s="4">
        <f t="shared" si="33"/>
        <v>0.36363636363636365</v>
      </c>
      <c r="O253" t="str">
        <f t="shared" si="34"/>
        <v>Normal</v>
      </c>
      <c r="P253" t="str">
        <f t="shared" si="35"/>
        <v/>
      </c>
      <c r="Q253" t="str">
        <f t="shared" si="36"/>
        <v/>
      </c>
      <c r="S253">
        <f t="shared" si="37"/>
        <v>254.5</v>
      </c>
      <c r="T253" t="str">
        <f t="shared" si="38"/>
        <v>0-30 Days</v>
      </c>
      <c r="U253">
        <f t="shared" si="39"/>
        <v>350</v>
      </c>
      <c r="V253">
        <f>tbl_inventory[[#This Row],[Units_Sold]]*tbl_inventory[[#This Row],[Revenue]]</f>
        <v>13151655</v>
      </c>
    </row>
    <row r="254" spans="1:22" x14ac:dyDescent="0.25">
      <c r="A254" s="2" t="s">
        <v>20</v>
      </c>
      <c r="B254" t="s">
        <v>53</v>
      </c>
      <c r="C254" t="s">
        <v>46</v>
      </c>
      <c r="D254" t="s">
        <v>66</v>
      </c>
      <c r="E254" s="2">
        <v>45658</v>
      </c>
      <c r="F254" s="3">
        <v>279</v>
      </c>
      <c r="G254">
        <v>54</v>
      </c>
      <c r="H254">
        <v>225</v>
      </c>
      <c r="I254">
        <v>35</v>
      </c>
      <c r="J254">
        <v>55</v>
      </c>
      <c r="K254">
        <f t="shared" si="30"/>
        <v>2970</v>
      </c>
      <c r="L254">
        <f t="shared" si="31"/>
        <v>1890</v>
      </c>
      <c r="M254">
        <f t="shared" si="32"/>
        <v>1080</v>
      </c>
      <c r="N254" s="4">
        <f t="shared" si="33"/>
        <v>0.36363636363636365</v>
      </c>
      <c r="O254" t="str">
        <f t="shared" si="34"/>
        <v>Normal</v>
      </c>
      <c r="P254" t="str">
        <f t="shared" si="35"/>
        <v/>
      </c>
      <c r="Q254" t="str">
        <f t="shared" si="36"/>
        <v/>
      </c>
      <c r="S254">
        <f t="shared" si="37"/>
        <v>252</v>
      </c>
      <c r="T254" t="str">
        <f t="shared" si="38"/>
        <v>90+ Days</v>
      </c>
      <c r="U254">
        <f t="shared" si="39"/>
        <v>7875</v>
      </c>
      <c r="V254">
        <f>tbl_inventory[[#This Row],[Units_Sold]]*tbl_inventory[[#This Row],[Revenue]]</f>
        <v>160380</v>
      </c>
    </row>
    <row r="255" spans="1:22" x14ac:dyDescent="0.25">
      <c r="A255" s="2" t="s">
        <v>20</v>
      </c>
      <c r="B255" t="s">
        <v>53</v>
      </c>
      <c r="C255" t="s">
        <v>46</v>
      </c>
      <c r="D255" t="s">
        <v>66</v>
      </c>
      <c r="E255" s="2">
        <v>45689</v>
      </c>
      <c r="F255" s="3">
        <v>563</v>
      </c>
      <c r="G255">
        <v>128</v>
      </c>
      <c r="H255">
        <v>435</v>
      </c>
      <c r="I255">
        <v>35</v>
      </c>
      <c r="J255">
        <v>55</v>
      </c>
      <c r="K255">
        <f t="shared" si="30"/>
        <v>7040</v>
      </c>
      <c r="L255">
        <f t="shared" si="31"/>
        <v>4480</v>
      </c>
      <c r="M255">
        <f t="shared" si="32"/>
        <v>2560</v>
      </c>
      <c r="N255" s="4">
        <f t="shared" si="33"/>
        <v>0.36363636363636365</v>
      </c>
      <c r="O255" t="str">
        <f t="shared" si="34"/>
        <v>Normal</v>
      </c>
      <c r="P255" t="str">
        <f t="shared" si="35"/>
        <v/>
      </c>
      <c r="Q255" t="str">
        <f t="shared" si="36"/>
        <v/>
      </c>
      <c r="S255">
        <f t="shared" si="37"/>
        <v>499</v>
      </c>
      <c r="T255" t="str">
        <f t="shared" si="38"/>
        <v>90+ Days</v>
      </c>
      <c r="U255">
        <f t="shared" si="39"/>
        <v>15225</v>
      </c>
      <c r="V255">
        <f>tbl_inventory[[#This Row],[Units_Sold]]*tbl_inventory[[#This Row],[Revenue]]</f>
        <v>901120</v>
      </c>
    </row>
    <row r="256" spans="1:22" x14ac:dyDescent="0.25">
      <c r="A256" s="2" t="s">
        <v>20</v>
      </c>
      <c r="B256" t="s">
        <v>53</v>
      </c>
      <c r="C256" t="s">
        <v>46</v>
      </c>
      <c r="D256" t="s">
        <v>66</v>
      </c>
      <c r="E256" s="2">
        <v>45717</v>
      </c>
      <c r="F256" s="3">
        <v>307</v>
      </c>
      <c r="G256">
        <v>72</v>
      </c>
      <c r="H256">
        <v>235</v>
      </c>
      <c r="I256">
        <v>35</v>
      </c>
      <c r="J256">
        <v>55</v>
      </c>
      <c r="K256">
        <f t="shared" si="30"/>
        <v>3960</v>
      </c>
      <c r="L256">
        <f t="shared" si="31"/>
        <v>2520</v>
      </c>
      <c r="M256">
        <f t="shared" si="32"/>
        <v>1440</v>
      </c>
      <c r="N256" s="4">
        <f t="shared" si="33"/>
        <v>0.36363636363636365</v>
      </c>
      <c r="O256" t="str">
        <f t="shared" si="34"/>
        <v>Normal</v>
      </c>
      <c r="P256" t="str">
        <f t="shared" si="35"/>
        <v/>
      </c>
      <c r="Q256" t="str">
        <f t="shared" si="36"/>
        <v/>
      </c>
      <c r="S256">
        <f t="shared" si="37"/>
        <v>271</v>
      </c>
      <c r="T256" t="str">
        <f t="shared" si="38"/>
        <v>90+ Days</v>
      </c>
      <c r="U256">
        <f t="shared" si="39"/>
        <v>8225</v>
      </c>
      <c r="V256">
        <f>tbl_inventory[[#This Row],[Units_Sold]]*tbl_inventory[[#This Row],[Revenue]]</f>
        <v>285120</v>
      </c>
    </row>
    <row r="257" spans="1:22" x14ac:dyDescent="0.25">
      <c r="A257" s="2" t="s">
        <v>20</v>
      </c>
      <c r="B257" t="s">
        <v>53</v>
      </c>
      <c r="C257" t="s">
        <v>46</v>
      </c>
      <c r="D257" t="s">
        <v>66</v>
      </c>
      <c r="E257" s="2">
        <v>45748</v>
      </c>
      <c r="F257" s="3">
        <v>704</v>
      </c>
      <c r="G257">
        <v>669</v>
      </c>
      <c r="H257">
        <v>35</v>
      </c>
      <c r="I257">
        <v>35</v>
      </c>
      <c r="J257">
        <v>55</v>
      </c>
      <c r="K257">
        <f t="shared" si="30"/>
        <v>36795</v>
      </c>
      <c r="L257">
        <f t="shared" si="31"/>
        <v>23415</v>
      </c>
      <c r="M257">
        <f t="shared" si="32"/>
        <v>13380</v>
      </c>
      <c r="N257" s="4">
        <f t="shared" si="33"/>
        <v>0.36363636363636365</v>
      </c>
      <c r="O257" t="str">
        <f t="shared" si="34"/>
        <v>Normal</v>
      </c>
      <c r="P257" t="str">
        <f t="shared" si="35"/>
        <v/>
      </c>
      <c r="Q257" t="str">
        <f t="shared" si="36"/>
        <v/>
      </c>
      <c r="S257">
        <f t="shared" si="37"/>
        <v>369.5</v>
      </c>
      <c r="T257" t="str">
        <f t="shared" si="38"/>
        <v>0-30 Days</v>
      </c>
      <c r="U257">
        <f t="shared" si="39"/>
        <v>1225</v>
      </c>
      <c r="V257">
        <f>tbl_inventory[[#This Row],[Units_Sold]]*tbl_inventory[[#This Row],[Revenue]]</f>
        <v>24615855</v>
      </c>
    </row>
    <row r="258" spans="1:22" x14ac:dyDescent="0.25">
      <c r="A258" s="2" t="s">
        <v>20</v>
      </c>
      <c r="B258" t="s">
        <v>53</v>
      </c>
      <c r="C258" t="s">
        <v>46</v>
      </c>
      <c r="D258" t="s">
        <v>66</v>
      </c>
      <c r="E258" s="2">
        <v>45778</v>
      </c>
      <c r="F258" s="3">
        <v>353</v>
      </c>
      <c r="G258">
        <v>58</v>
      </c>
      <c r="H258">
        <v>295</v>
      </c>
      <c r="I258">
        <v>35</v>
      </c>
      <c r="J258">
        <v>55</v>
      </c>
      <c r="K258">
        <f t="shared" si="30"/>
        <v>3190</v>
      </c>
      <c r="L258">
        <f t="shared" si="31"/>
        <v>2030</v>
      </c>
      <c r="M258">
        <f t="shared" si="32"/>
        <v>1160</v>
      </c>
      <c r="N258" s="4">
        <f t="shared" si="33"/>
        <v>0.36363636363636365</v>
      </c>
      <c r="O258" t="str">
        <f t="shared" si="34"/>
        <v>Normal</v>
      </c>
      <c r="P258" t="str">
        <f t="shared" si="35"/>
        <v/>
      </c>
      <c r="Q258" t="str">
        <f t="shared" si="36"/>
        <v/>
      </c>
      <c r="S258">
        <f t="shared" si="37"/>
        <v>324</v>
      </c>
      <c r="T258" t="str">
        <f t="shared" si="38"/>
        <v>90+ Days</v>
      </c>
      <c r="U258">
        <f t="shared" si="39"/>
        <v>10325</v>
      </c>
      <c r="V258">
        <f>tbl_inventory[[#This Row],[Units_Sold]]*tbl_inventory[[#This Row],[Revenue]]</f>
        <v>185020</v>
      </c>
    </row>
    <row r="259" spans="1:22" x14ac:dyDescent="0.25">
      <c r="A259" s="2" t="s">
        <v>20</v>
      </c>
      <c r="B259" t="s">
        <v>53</v>
      </c>
      <c r="C259" t="s">
        <v>46</v>
      </c>
      <c r="D259" t="s">
        <v>66</v>
      </c>
      <c r="E259" s="2">
        <v>45809</v>
      </c>
      <c r="F259" s="3">
        <v>788</v>
      </c>
      <c r="G259">
        <v>721</v>
      </c>
      <c r="H259">
        <v>67</v>
      </c>
      <c r="I259">
        <v>35</v>
      </c>
      <c r="J259">
        <v>55</v>
      </c>
      <c r="K259">
        <f t="shared" ref="K259:K322" si="40">G259*J259</f>
        <v>39655</v>
      </c>
      <c r="L259">
        <f t="shared" ref="L259:L322" si="41">G259*I259</f>
        <v>25235</v>
      </c>
      <c r="M259">
        <f t="shared" ref="M259:M322" si="42">K259-L259</f>
        <v>14420</v>
      </c>
      <c r="N259" s="4">
        <f t="shared" ref="N259:N322" si="43">IF(K259=0,0,M259/K259)</f>
        <v>0.36363636363636365</v>
      </c>
      <c r="O259" t="str">
        <f t="shared" ref="O259:O322" si="44">IF(G259&lt;20,"Slow Moving","Normal")</f>
        <v>Normal</v>
      </c>
      <c r="P259" t="str">
        <f t="shared" ref="P259:P322" si="45">IF(G259=0,"Dead Stock","")</f>
        <v/>
      </c>
      <c r="Q259" t="str">
        <f t="shared" ref="Q259:Q322" si="46">IF(N259&lt;0.1,"Low Margin","")</f>
        <v/>
      </c>
      <c r="S259">
        <f t="shared" ref="S259:S322" si="47">(F259+H259)/2</f>
        <v>427.5</v>
      </c>
      <c r="T259" t="str">
        <f t="shared" ref="T259:T322" si="48">IF(H259&gt;200,"90+ Days",
IF(H259&gt;100,"60-90 Days",
IF(H259&gt;50,"30-60 Days","0-30 Days")))</f>
        <v>30-60 Days</v>
      </c>
      <c r="U259">
        <f t="shared" ref="U259:U322" si="49">H259 * I259</f>
        <v>2345</v>
      </c>
      <c r="V259">
        <f>tbl_inventory[[#This Row],[Units_Sold]]*tbl_inventory[[#This Row],[Revenue]]</f>
        <v>28591255</v>
      </c>
    </row>
    <row r="260" spans="1:22" x14ac:dyDescent="0.25">
      <c r="A260" s="2" t="s">
        <v>20</v>
      </c>
      <c r="B260" t="s">
        <v>53</v>
      </c>
      <c r="C260" t="s">
        <v>46</v>
      </c>
      <c r="D260" t="s">
        <v>67</v>
      </c>
      <c r="E260" s="2">
        <v>45658</v>
      </c>
      <c r="F260" s="3">
        <v>444</v>
      </c>
      <c r="G260">
        <v>366</v>
      </c>
      <c r="H260">
        <v>78</v>
      </c>
      <c r="I260">
        <v>35</v>
      </c>
      <c r="J260">
        <v>55</v>
      </c>
      <c r="K260">
        <f t="shared" si="40"/>
        <v>20130</v>
      </c>
      <c r="L260">
        <f t="shared" si="41"/>
        <v>12810</v>
      </c>
      <c r="M260">
        <f t="shared" si="42"/>
        <v>7320</v>
      </c>
      <c r="N260" s="4">
        <f t="shared" si="43"/>
        <v>0.36363636363636365</v>
      </c>
      <c r="O260" t="str">
        <f t="shared" si="44"/>
        <v>Normal</v>
      </c>
      <c r="P260" t="str">
        <f t="shared" si="45"/>
        <v/>
      </c>
      <c r="Q260" t="str">
        <f t="shared" si="46"/>
        <v/>
      </c>
      <c r="S260">
        <f t="shared" si="47"/>
        <v>261</v>
      </c>
      <c r="T260" t="str">
        <f t="shared" si="48"/>
        <v>30-60 Days</v>
      </c>
      <c r="U260">
        <f t="shared" si="49"/>
        <v>2730</v>
      </c>
      <c r="V260">
        <f>tbl_inventory[[#This Row],[Units_Sold]]*tbl_inventory[[#This Row],[Revenue]]</f>
        <v>7367580</v>
      </c>
    </row>
    <row r="261" spans="1:22" x14ac:dyDescent="0.25">
      <c r="A261" s="2" t="s">
        <v>20</v>
      </c>
      <c r="B261" t="s">
        <v>53</v>
      </c>
      <c r="C261" t="s">
        <v>46</v>
      </c>
      <c r="D261" t="s">
        <v>67</v>
      </c>
      <c r="E261" s="2">
        <v>45689</v>
      </c>
      <c r="F261" s="3">
        <v>661</v>
      </c>
      <c r="G261">
        <v>261</v>
      </c>
      <c r="H261">
        <v>400</v>
      </c>
      <c r="I261">
        <v>35</v>
      </c>
      <c r="J261">
        <v>55</v>
      </c>
      <c r="K261">
        <f t="shared" si="40"/>
        <v>14355</v>
      </c>
      <c r="L261">
        <f t="shared" si="41"/>
        <v>9135</v>
      </c>
      <c r="M261">
        <f t="shared" si="42"/>
        <v>5220</v>
      </c>
      <c r="N261" s="4">
        <f t="shared" si="43"/>
        <v>0.36363636363636365</v>
      </c>
      <c r="O261" t="str">
        <f t="shared" si="44"/>
        <v>Normal</v>
      </c>
      <c r="P261" t="str">
        <f t="shared" si="45"/>
        <v/>
      </c>
      <c r="Q261" t="str">
        <f t="shared" si="46"/>
        <v/>
      </c>
      <c r="S261">
        <f t="shared" si="47"/>
        <v>530.5</v>
      </c>
      <c r="T261" t="str">
        <f t="shared" si="48"/>
        <v>90+ Days</v>
      </c>
      <c r="U261">
        <f t="shared" si="49"/>
        <v>14000</v>
      </c>
      <c r="V261">
        <f>tbl_inventory[[#This Row],[Units_Sold]]*tbl_inventory[[#This Row],[Revenue]]</f>
        <v>3746655</v>
      </c>
    </row>
    <row r="262" spans="1:22" x14ac:dyDescent="0.25">
      <c r="A262" s="2" t="s">
        <v>20</v>
      </c>
      <c r="B262" t="s">
        <v>53</v>
      </c>
      <c r="C262" t="s">
        <v>46</v>
      </c>
      <c r="D262" t="s">
        <v>67</v>
      </c>
      <c r="E262" s="2">
        <v>45717</v>
      </c>
      <c r="F262" s="3">
        <v>618</v>
      </c>
      <c r="G262">
        <v>131</v>
      </c>
      <c r="H262">
        <v>487</v>
      </c>
      <c r="I262">
        <v>35</v>
      </c>
      <c r="J262">
        <v>55</v>
      </c>
      <c r="K262">
        <f t="shared" si="40"/>
        <v>7205</v>
      </c>
      <c r="L262">
        <f t="shared" si="41"/>
        <v>4585</v>
      </c>
      <c r="M262">
        <f t="shared" si="42"/>
        <v>2620</v>
      </c>
      <c r="N262" s="4">
        <f t="shared" si="43"/>
        <v>0.36363636363636365</v>
      </c>
      <c r="O262" t="str">
        <f t="shared" si="44"/>
        <v>Normal</v>
      </c>
      <c r="P262" t="str">
        <f t="shared" si="45"/>
        <v/>
      </c>
      <c r="Q262" t="str">
        <f t="shared" si="46"/>
        <v/>
      </c>
      <c r="S262">
        <f t="shared" si="47"/>
        <v>552.5</v>
      </c>
      <c r="T262" t="str">
        <f t="shared" si="48"/>
        <v>90+ Days</v>
      </c>
      <c r="U262">
        <f t="shared" si="49"/>
        <v>17045</v>
      </c>
      <c r="V262">
        <f>tbl_inventory[[#This Row],[Units_Sold]]*tbl_inventory[[#This Row],[Revenue]]</f>
        <v>943855</v>
      </c>
    </row>
    <row r="263" spans="1:22" x14ac:dyDescent="0.25">
      <c r="A263" s="2" t="s">
        <v>20</v>
      </c>
      <c r="B263" t="s">
        <v>53</v>
      </c>
      <c r="C263" t="s">
        <v>46</v>
      </c>
      <c r="D263" t="s">
        <v>67</v>
      </c>
      <c r="E263" s="2">
        <v>45748</v>
      </c>
      <c r="F263" s="3">
        <v>336</v>
      </c>
      <c r="G263">
        <v>132</v>
      </c>
      <c r="H263">
        <v>204</v>
      </c>
      <c r="I263">
        <v>35</v>
      </c>
      <c r="J263">
        <v>55</v>
      </c>
      <c r="K263">
        <f t="shared" si="40"/>
        <v>7260</v>
      </c>
      <c r="L263">
        <f t="shared" si="41"/>
        <v>4620</v>
      </c>
      <c r="M263">
        <f t="shared" si="42"/>
        <v>2640</v>
      </c>
      <c r="N263" s="4">
        <f t="shared" si="43"/>
        <v>0.36363636363636365</v>
      </c>
      <c r="O263" t="str">
        <f t="shared" si="44"/>
        <v>Normal</v>
      </c>
      <c r="P263" t="str">
        <f t="shared" si="45"/>
        <v/>
      </c>
      <c r="Q263" t="str">
        <f t="shared" si="46"/>
        <v/>
      </c>
      <c r="S263">
        <f t="shared" si="47"/>
        <v>270</v>
      </c>
      <c r="T263" t="str">
        <f t="shared" si="48"/>
        <v>90+ Days</v>
      </c>
      <c r="U263">
        <f t="shared" si="49"/>
        <v>7140</v>
      </c>
      <c r="V263">
        <f>tbl_inventory[[#This Row],[Units_Sold]]*tbl_inventory[[#This Row],[Revenue]]</f>
        <v>958320</v>
      </c>
    </row>
    <row r="264" spans="1:22" x14ac:dyDescent="0.25">
      <c r="A264" s="2" t="s">
        <v>20</v>
      </c>
      <c r="B264" t="s">
        <v>53</v>
      </c>
      <c r="C264" t="s">
        <v>46</v>
      </c>
      <c r="D264" t="s">
        <v>67</v>
      </c>
      <c r="E264" s="2">
        <v>45778</v>
      </c>
      <c r="F264" s="3">
        <v>654</v>
      </c>
      <c r="G264">
        <v>577</v>
      </c>
      <c r="H264">
        <v>77</v>
      </c>
      <c r="I264">
        <v>35</v>
      </c>
      <c r="J264">
        <v>55</v>
      </c>
      <c r="K264">
        <f t="shared" si="40"/>
        <v>31735</v>
      </c>
      <c r="L264">
        <f t="shared" si="41"/>
        <v>20195</v>
      </c>
      <c r="M264">
        <f t="shared" si="42"/>
        <v>11540</v>
      </c>
      <c r="N264" s="4">
        <f t="shared" si="43"/>
        <v>0.36363636363636365</v>
      </c>
      <c r="O264" t="str">
        <f t="shared" si="44"/>
        <v>Normal</v>
      </c>
      <c r="P264" t="str">
        <f t="shared" si="45"/>
        <v/>
      </c>
      <c r="Q264" t="str">
        <f t="shared" si="46"/>
        <v/>
      </c>
      <c r="S264">
        <f t="shared" si="47"/>
        <v>365.5</v>
      </c>
      <c r="T264" t="str">
        <f t="shared" si="48"/>
        <v>30-60 Days</v>
      </c>
      <c r="U264">
        <f t="shared" si="49"/>
        <v>2695</v>
      </c>
      <c r="V264">
        <f>tbl_inventory[[#This Row],[Units_Sold]]*tbl_inventory[[#This Row],[Revenue]]</f>
        <v>18311095</v>
      </c>
    </row>
    <row r="265" spans="1:22" x14ac:dyDescent="0.25">
      <c r="A265" s="2" t="s">
        <v>20</v>
      </c>
      <c r="B265" t="s">
        <v>53</v>
      </c>
      <c r="C265" t="s">
        <v>46</v>
      </c>
      <c r="D265" t="s">
        <v>67</v>
      </c>
      <c r="E265" s="2">
        <v>45809</v>
      </c>
      <c r="F265" s="3">
        <v>322</v>
      </c>
      <c r="G265">
        <v>13</v>
      </c>
      <c r="H265">
        <v>309</v>
      </c>
      <c r="I265">
        <v>35</v>
      </c>
      <c r="J265">
        <v>55</v>
      </c>
      <c r="K265">
        <f t="shared" si="40"/>
        <v>715</v>
      </c>
      <c r="L265">
        <f t="shared" si="41"/>
        <v>455</v>
      </c>
      <c r="M265">
        <f t="shared" si="42"/>
        <v>260</v>
      </c>
      <c r="N265" s="4">
        <f t="shared" si="43"/>
        <v>0.36363636363636365</v>
      </c>
      <c r="O265" t="str">
        <f t="shared" si="44"/>
        <v>Slow Moving</v>
      </c>
      <c r="P265" t="str">
        <f t="shared" si="45"/>
        <v/>
      </c>
      <c r="Q265" t="str">
        <f t="shared" si="46"/>
        <v/>
      </c>
      <c r="S265">
        <f t="shared" si="47"/>
        <v>315.5</v>
      </c>
      <c r="T265" t="str">
        <f t="shared" si="48"/>
        <v>90+ Days</v>
      </c>
      <c r="U265">
        <f t="shared" si="49"/>
        <v>10815</v>
      </c>
      <c r="V265">
        <f>tbl_inventory[[#This Row],[Units_Sold]]*tbl_inventory[[#This Row],[Revenue]]</f>
        <v>9295</v>
      </c>
    </row>
    <row r="266" spans="1:22" x14ac:dyDescent="0.25">
      <c r="A266" s="2" t="s">
        <v>21</v>
      </c>
      <c r="B266" t="s">
        <v>55</v>
      </c>
      <c r="C266" t="s">
        <v>46</v>
      </c>
      <c r="D266" t="s">
        <v>64</v>
      </c>
      <c r="E266" s="2">
        <v>45658</v>
      </c>
      <c r="F266" s="3">
        <v>791</v>
      </c>
      <c r="G266">
        <v>379</v>
      </c>
      <c r="H266">
        <v>412</v>
      </c>
      <c r="I266">
        <v>30</v>
      </c>
      <c r="J266">
        <v>50</v>
      </c>
      <c r="K266">
        <f t="shared" si="40"/>
        <v>18950</v>
      </c>
      <c r="L266">
        <f t="shared" si="41"/>
        <v>11370</v>
      </c>
      <c r="M266">
        <f t="shared" si="42"/>
        <v>7580</v>
      </c>
      <c r="N266" s="4">
        <f t="shared" si="43"/>
        <v>0.4</v>
      </c>
      <c r="O266" t="str">
        <f t="shared" si="44"/>
        <v>Normal</v>
      </c>
      <c r="P266" t="str">
        <f t="shared" si="45"/>
        <v/>
      </c>
      <c r="Q266" t="str">
        <f t="shared" si="46"/>
        <v/>
      </c>
      <c r="S266">
        <f t="shared" si="47"/>
        <v>601.5</v>
      </c>
      <c r="T266" t="str">
        <f t="shared" si="48"/>
        <v>90+ Days</v>
      </c>
      <c r="U266">
        <f t="shared" si="49"/>
        <v>12360</v>
      </c>
      <c r="V266">
        <f>tbl_inventory[[#This Row],[Units_Sold]]*tbl_inventory[[#This Row],[Revenue]]</f>
        <v>7182050</v>
      </c>
    </row>
    <row r="267" spans="1:22" x14ac:dyDescent="0.25">
      <c r="A267" s="2" t="s">
        <v>21</v>
      </c>
      <c r="B267" t="s">
        <v>55</v>
      </c>
      <c r="C267" t="s">
        <v>46</v>
      </c>
      <c r="D267" t="s">
        <v>64</v>
      </c>
      <c r="E267" s="2">
        <v>45689</v>
      </c>
      <c r="F267" s="3">
        <v>597</v>
      </c>
      <c r="G267">
        <v>531</v>
      </c>
      <c r="H267">
        <v>66</v>
      </c>
      <c r="I267">
        <v>30</v>
      </c>
      <c r="J267">
        <v>50</v>
      </c>
      <c r="K267">
        <f t="shared" si="40"/>
        <v>26550</v>
      </c>
      <c r="L267">
        <f t="shared" si="41"/>
        <v>15930</v>
      </c>
      <c r="M267">
        <f t="shared" si="42"/>
        <v>10620</v>
      </c>
      <c r="N267" s="4">
        <f t="shared" si="43"/>
        <v>0.4</v>
      </c>
      <c r="O267" t="str">
        <f t="shared" si="44"/>
        <v>Normal</v>
      </c>
      <c r="P267" t="str">
        <f t="shared" si="45"/>
        <v/>
      </c>
      <c r="Q267" t="str">
        <f t="shared" si="46"/>
        <v/>
      </c>
      <c r="S267">
        <f t="shared" si="47"/>
        <v>331.5</v>
      </c>
      <c r="T267" t="str">
        <f t="shared" si="48"/>
        <v>30-60 Days</v>
      </c>
      <c r="U267">
        <f t="shared" si="49"/>
        <v>1980</v>
      </c>
      <c r="V267">
        <f>tbl_inventory[[#This Row],[Units_Sold]]*tbl_inventory[[#This Row],[Revenue]]</f>
        <v>14098050</v>
      </c>
    </row>
    <row r="268" spans="1:22" x14ac:dyDescent="0.25">
      <c r="A268" s="2" t="s">
        <v>21</v>
      </c>
      <c r="B268" t="s">
        <v>55</v>
      </c>
      <c r="C268" t="s">
        <v>46</v>
      </c>
      <c r="D268" t="s">
        <v>64</v>
      </c>
      <c r="E268" s="2">
        <v>45717</v>
      </c>
      <c r="F268" s="3">
        <v>488</v>
      </c>
      <c r="G268">
        <v>216</v>
      </c>
      <c r="H268">
        <v>272</v>
      </c>
      <c r="I268">
        <v>30</v>
      </c>
      <c r="J268">
        <v>50</v>
      </c>
      <c r="K268">
        <f t="shared" si="40"/>
        <v>10800</v>
      </c>
      <c r="L268">
        <f t="shared" si="41"/>
        <v>6480</v>
      </c>
      <c r="M268">
        <f t="shared" si="42"/>
        <v>4320</v>
      </c>
      <c r="N268" s="4">
        <f t="shared" si="43"/>
        <v>0.4</v>
      </c>
      <c r="O268" t="str">
        <f t="shared" si="44"/>
        <v>Normal</v>
      </c>
      <c r="P268" t="str">
        <f t="shared" si="45"/>
        <v/>
      </c>
      <c r="Q268" t="str">
        <f t="shared" si="46"/>
        <v/>
      </c>
      <c r="S268">
        <f t="shared" si="47"/>
        <v>380</v>
      </c>
      <c r="T268" t="str">
        <f t="shared" si="48"/>
        <v>90+ Days</v>
      </c>
      <c r="U268">
        <f t="shared" si="49"/>
        <v>8160</v>
      </c>
      <c r="V268">
        <f>tbl_inventory[[#This Row],[Units_Sold]]*tbl_inventory[[#This Row],[Revenue]]</f>
        <v>2332800</v>
      </c>
    </row>
    <row r="269" spans="1:22" x14ac:dyDescent="0.25">
      <c r="A269" s="2" t="s">
        <v>21</v>
      </c>
      <c r="B269" t="s">
        <v>55</v>
      </c>
      <c r="C269" t="s">
        <v>46</v>
      </c>
      <c r="D269" t="s">
        <v>64</v>
      </c>
      <c r="E269" s="2">
        <v>45748</v>
      </c>
      <c r="F269" s="3">
        <v>721</v>
      </c>
      <c r="G269">
        <v>420</v>
      </c>
      <c r="H269">
        <v>301</v>
      </c>
      <c r="I269">
        <v>30</v>
      </c>
      <c r="J269">
        <v>50</v>
      </c>
      <c r="K269">
        <f t="shared" si="40"/>
        <v>21000</v>
      </c>
      <c r="L269">
        <f t="shared" si="41"/>
        <v>12600</v>
      </c>
      <c r="M269">
        <f t="shared" si="42"/>
        <v>8400</v>
      </c>
      <c r="N269" s="4">
        <f t="shared" si="43"/>
        <v>0.4</v>
      </c>
      <c r="O269" t="str">
        <f t="shared" si="44"/>
        <v>Normal</v>
      </c>
      <c r="P269" t="str">
        <f t="shared" si="45"/>
        <v/>
      </c>
      <c r="Q269" t="str">
        <f t="shared" si="46"/>
        <v/>
      </c>
      <c r="S269">
        <f t="shared" si="47"/>
        <v>511</v>
      </c>
      <c r="T269" t="str">
        <f t="shared" si="48"/>
        <v>90+ Days</v>
      </c>
      <c r="U269">
        <f t="shared" si="49"/>
        <v>9030</v>
      </c>
      <c r="V269">
        <f>tbl_inventory[[#This Row],[Units_Sold]]*tbl_inventory[[#This Row],[Revenue]]</f>
        <v>8820000</v>
      </c>
    </row>
    <row r="270" spans="1:22" x14ac:dyDescent="0.25">
      <c r="A270" s="2" t="s">
        <v>21</v>
      </c>
      <c r="B270" t="s">
        <v>55</v>
      </c>
      <c r="C270" t="s">
        <v>46</v>
      </c>
      <c r="D270" t="s">
        <v>64</v>
      </c>
      <c r="E270" s="2">
        <v>45778</v>
      </c>
      <c r="F270" s="3">
        <v>716</v>
      </c>
      <c r="G270">
        <v>54</v>
      </c>
      <c r="H270">
        <v>662</v>
      </c>
      <c r="I270">
        <v>30</v>
      </c>
      <c r="J270">
        <v>50</v>
      </c>
      <c r="K270">
        <f t="shared" si="40"/>
        <v>2700</v>
      </c>
      <c r="L270">
        <f t="shared" si="41"/>
        <v>1620</v>
      </c>
      <c r="M270">
        <f t="shared" si="42"/>
        <v>1080</v>
      </c>
      <c r="N270" s="4">
        <f t="shared" si="43"/>
        <v>0.4</v>
      </c>
      <c r="O270" t="str">
        <f t="shared" si="44"/>
        <v>Normal</v>
      </c>
      <c r="P270" t="str">
        <f t="shared" si="45"/>
        <v/>
      </c>
      <c r="Q270" t="str">
        <f t="shared" si="46"/>
        <v/>
      </c>
      <c r="S270">
        <f t="shared" si="47"/>
        <v>689</v>
      </c>
      <c r="T270" t="str">
        <f t="shared" si="48"/>
        <v>90+ Days</v>
      </c>
      <c r="U270">
        <f t="shared" si="49"/>
        <v>19860</v>
      </c>
      <c r="V270">
        <f>tbl_inventory[[#This Row],[Units_Sold]]*tbl_inventory[[#This Row],[Revenue]]</f>
        <v>145800</v>
      </c>
    </row>
    <row r="271" spans="1:22" x14ac:dyDescent="0.25">
      <c r="A271" s="2" t="s">
        <v>21</v>
      </c>
      <c r="B271" t="s">
        <v>55</v>
      </c>
      <c r="C271" t="s">
        <v>46</v>
      </c>
      <c r="D271" t="s">
        <v>64</v>
      </c>
      <c r="E271" s="2">
        <v>45809</v>
      </c>
      <c r="F271" s="3">
        <v>683</v>
      </c>
      <c r="G271">
        <v>421</v>
      </c>
      <c r="H271">
        <v>262</v>
      </c>
      <c r="I271">
        <v>30</v>
      </c>
      <c r="J271">
        <v>50</v>
      </c>
      <c r="K271">
        <f t="shared" si="40"/>
        <v>21050</v>
      </c>
      <c r="L271">
        <f t="shared" si="41"/>
        <v>12630</v>
      </c>
      <c r="M271">
        <f t="shared" si="42"/>
        <v>8420</v>
      </c>
      <c r="N271" s="4">
        <f t="shared" si="43"/>
        <v>0.4</v>
      </c>
      <c r="O271" t="str">
        <f t="shared" si="44"/>
        <v>Normal</v>
      </c>
      <c r="P271" t="str">
        <f t="shared" si="45"/>
        <v/>
      </c>
      <c r="Q271" t="str">
        <f t="shared" si="46"/>
        <v/>
      </c>
      <c r="S271">
        <f t="shared" si="47"/>
        <v>472.5</v>
      </c>
      <c r="T271" t="str">
        <f t="shared" si="48"/>
        <v>90+ Days</v>
      </c>
      <c r="U271">
        <f t="shared" si="49"/>
        <v>7860</v>
      </c>
      <c r="V271">
        <f>tbl_inventory[[#This Row],[Units_Sold]]*tbl_inventory[[#This Row],[Revenue]]</f>
        <v>8862050</v>
      </c>
    </row>
    <row r="272" spans="1:22" x14ac:dyDescent="0.25">
      <c r="A272" s="2" t="s">
        <v>21</v>
      </c>
      <c r="B272" t="s">
        <v>55</v>
      </c>
      <c r="C272" t="s">
        <v>46</v>
      </c>
      <c r="D272" t="s">
        <v>65</v>
      </c>
      <c r="E272" s="2">
        <v>45658</v>
      </c>
      <c r="F272" s="3">
        <v>607</v>
      </c>
      <c r="G272">
        <v>8</v>
      </c>
      <c r="H272">
        <v>599</v>
      </c>
      <c r="I272">
        <v>30</v>
      </c>
      <c r="J272">
        <v>50</v>
      </c>
      <c r="K272">
        <f t="shared" si="40"/>
        <v>400</v>
      </c>
      <c r="L272">
        <f t="shared" si="41"/>
        <v>240</v>
      </c>
      <c r="M272">
        <f t="shared" si="42"/>
        <v>160</v>
      </c>
      <c r="N272" s="4">
        <f t="shared" si="43"/>
        <v>0.4</v>
      </c>
      <c r="O272" t="str">
        <f t="shared" si="44"/>
        <v>Slow Moving</v>
      </c>
      <c r="P272" t="str">
        <f t="shared" si="45"/>
        <v/>
      </c>
      <c r="Q272" t="str">
        <f t="shared" si="46"/>
        <v/>
      </c>
      <c r="S272">
        <f t="shared" si="47"/>
        <v>603</v>
      </c>
      <c r="T272" t="str">
        <f t="shared" si="48"/>
        <v>90+ Days</v>
      </c>
      <c r="U272">
        <f t="shared" si="49"/>
        <v>17970</v>
      </c>
      <c r="V272">
        <f>tbl_inventory[[#This Row],[Units_Sold]]*tbl_inventory[[#This Row],[Revenue]]</f>
        <v>3200</v>
      </c>
    </row>
    <row r="273" spans="1:22" x14ac:dyDescent="0.25">
      <c r="A273" s="2" t="s">
        <v>21</v>
      </c>
      <c r="B273" t="s">
        <v>55</v>
      </c>
      <c r="C273" t="s">
        <v>46</v>
      </c>
      <c r="D273" t="s">
        <v>65</v>
      </c>
      <c r="E273" s="2">
        <v>45689</v>
      </c>
      <c r="F273" s="3">
        <v>774</v>
      </c>
      <c r="G273">
        <v>573</v>
      </c>
      <c r="H273">
        <v>201</v>
      </c>
      <c r="I273">
        <v>30</v>
      </c>
      <c r="J273">
        <v>50</v>
      </c>
      <c r="K273">
        <f t="shared" si="40"/>
        <v>28650</v>
      </c>
      <c r="L273">
        <f t="shared" si="41"/>
        <v>17190</v>
      </c>
      <c r="M273">
        <f t="shared" si="42"/>
        <v>11460</v>
      </c>
      <c r="N273" s="4">
        <f t="shared" si="43"/>
        <v>0.4</v>
      </c>
      <c r="O273" t="str">
        <f t="shared" si="44"/>
        <v>Normal</v>
      </c>
      <c r="P273" t="str">
        <f t="shared" si="45"/>
        <v/>
      </c>
      <c r="Q273" t="str">
        <f t="shared" si="46"/>
        <v/>
      </c>
      <c r="S273">
        <f t="shared" si="47"/>
        <v>487.5</v>
      </c>
      <c r="T273" t="str">
        <f t="shared" si="48"/>
        <v>90+ Days</v>
      </c>
      <c r="U273">
        <f t="shared" si="49"/>
        <v>6030</v>
      </c>
      <c r="V273">
        <f>tbl_inventory[[#This Row],[Units_Sold]]*tbl_inventory[[#This Row],[Revenue]]</f>
        <v>16416450</v>
      </c>
    </row>
    <row r="274" spans="1:22" x14ac:dyDescent="0.25">
      <c r="A274" s="2" t="s">
        <v>21</v>
      </c>
      <c r="B274" t="s">
        <v>55</v>
      </c>
      <c r="C274" t="s">
        <v>46</v>
      </c>
      <c r="D274" t="s">
        <v>65</v>
      </c>
      <c r="E274" s="2">
        <v>45717</v>
      </c>
      <c r="F274" s="3">
        <v>341</v>
      </c>
      <c r="G274">
        <v>299</v>
      </c>
      <c r="H274">
        <v>42</v>
      </c>
      <c r="I274">
        <v>30</v>
      </c>
      <c r="J274">
        <v>50</v>
      </c>
      <c r="K274">
        <f t="shared" si="40"/>
        <v>14950</v>
      </c>
      <c r="L274">
        <f t="shared" si="41"/>
        <v>8970</v>
      </c>
      <c r="M274">
        <f t="shared" si="42"/>
        <v>5980</v>
      </c>
      <c r="N274" s="4">
        <f t="shared" si="43"/>
        <v>0.4</v>
      </c>
      <c r="O274" t="str">
        <f t="shared" si="44"/>
        <v>Normal</v>
      </c>
      <c r="P274" t="str">
        <f t="shared" si="45"/>
        <v/>
      </c>
      <c r="Q274" t="str">
        <f t="shared" si="46"/>
        <v/>
      </c>
      <c r="S274">
        <f t="shared" si="47"/>
        <v>191.5</v>
      </c>
      <c r="T274" t="str">
        <f t="shared" si="48"/>
        <v>0-30 Days</v>
      </c>
      <c r="U274">
        <f t="shared" si="49"/>
        <v>1260</v>
      </c>
      <c r="V274">
        <f>tbl_inventory[[#This Row],[Units_Sold]]*tbl_inventory[[#This Row],[Revenue]]</f>
        <v>4470050</v>
      </c>
    </row>
    <row r="275" spans="1:22" x14ac:dyDescent="0.25">
      <c r="A275" s="2" t="s">
        <v>21</v>
      </c>
      <c r="B275" t="s">
        <v>55</v>
      </c>
      <c r="C275" t="s">
        <v>46</v>
      </c>
      <c r="D275" t="s">
        <v>65</v>
      </c>
      <c r="E275" s="2">
        <v>45748</v>
      </c>
      <c r="F275" s="3">
        <v>438</v>
      </c>
      <c r="G275">
        <v>318</v>
      </c>
      <c r="H275">
        <v>120</v>
      </c>
      <c r="I275">
        <v>30</v>
      </c>
      <c r="J275">
        <v>50</v>
      </c>
      <c r="K275">
        <f t="shared" si="40"/>
        <v>15900</v>
      </c>
      <c r="L275">
        <f t="shared" si="41"/>
        <v>9540</v>
      </c>
      <c r="M275">
        <f t="shared" si="42"/>
        <v>6360</v>
      </c>
      <c r="N275" s="4">
        <f t="shared" si="43"/>
        <v>0.4</v>
      </c>
      <c r="O275" t="str">
        <f t="shared" si="44"/>
        <v>Normal</v>
      </c>
      <c r="P275" t="str">
        <f t="shared" si="45"/>
        <v/>
      </c>
      <c r="Q275" t="str">
        <f t="shared" si="46"/>
        <v/>
      </c>
      <c r="S275">
        <f t="shared" si="47"/>
        <v>279</v>
      </c>
      <c r="T275" t="str">
        <f t="shared" si="48"/>
        <v>60-90 Days</v>
      </c>
      <c r="U275">
        <f t="shared" si="49"/>
        <v>3600</v>
      </c>
      <c r="V275">
        <f>tbl_inventory[[#This Row],[Units_Sold]]*tbl_inventory[[#This Row],[Revenue]]</f>
        <v>5056200</v>
      </c>
    </row>
    <row r="276" spans="1:22" x14ac:dyDescent="0.25">
      <c r="A276" s="2" t="s">
        <v>21</v>
      </c>
      <c r="B276" t="s">
        <v>55</v>
      </c>
      <c r="C276" t="s">
        <v>46</v>
      </c>
      <c r="D276" t="s">
        <v>65</v>
      </c>
      <c r="E276" s="2">
        <v>45778</v>
      </c>
      <c r="F276" s="3">
        <v>200</v>
      </c>
      <c r="G276">
        <v>118</v>
      </c>
      <c r="H276">
        <v>82</v>
      </c>
      <c r="I276">
        <v>30</v>
      </c>
      <c r="J276">
        <v>50</v>
      </c>
      <c r="K276">
        <f t="shared" si="40"/>
        <v>5900</v>
      </c>
      <c r="L276">
        <f t="shared" si="41"/>
        <v>3540</v>
      </c>
      <c r="M276">
        <f t="shared" si="42"/>
        <v>2360</v>
      </c>
      <c r="N276" s="4">
        <f t="shared" si="43"/>
        <v>0.4</v>
      </c>
      <c r="O276" t="str">
        <f t="shared" si="44"/>
        <v>Normal</v>
      </c>
      <c r="P276" t="str">
        <f t="shared" si="45"/>
        <v/>
      </c>
      <c r="Q276" t="str">
        <f t="shared" si="46"/>
        <v/>
      </c>
      <c r="S276">
        <f t="shared" si="47"/>
        <v>141</v>
      </c>
      <c r="T276" t="str">
        <f t="shared" si="48"/>
        <v>30-60 Days</v>
      </c>
      <c r="U276">
        <f t="shared" si="49"/>
        <v>2460</v>
      </c>
      <c r="V276">
        <f>tbl_inventory[[#This Row],[Units_Sold]]*tbl_inventory[[#This Row],[Revenue]]</f>
        <v>696200</v>
      </c>
    </row>
    <row r="277" spans="1:22" x14ac:dyDescent="0.25">
      <c r="A277" s="2" t="s">
        <v>21</v>
      </c>
      <c r="B277" t="s">
        <v>55</v>
      </c>
      <c r="C277" t="s">
        <v>46</v>
      </c>
      <c r="D277" t="s">
        <v>65</v>
      </c>
      <c r="E277" s="2">
        <v>45809</v>
      </c>
      <c r="F277" s="3">
        <v>501</v>
      </c>
      <c r="G277">
        <v>215</v>
      </c>
      <c r="H277">
        <v>286</v>
      </c>
      <c r="I277">
        <v>30</v>
      </c>
      <c r="J277">
        <v>50</v>
      </c>
      <c r="K277">
        <f t="shared" si="40"/>
        <v>10750</v>
      </c>
      <c r="L277">
        <f t="shared" si="41"/>
        <v>6450</v>
      </c>
      <c r="M277">
        <f t="shared" si="42"/>
        <v>4300</v>
      </c>
      <c r="N277" s="4">
        <f t="shared" si="43"/>
        <v>0.4</v>
      </c>
      <c r="O277" t="str">
        <f t="shared" si="44"/>
        <v>Normal</v>
      </c>
      <c r="P277" t="str">
        <f t="shared" si="45"/>
        <v/>
      </c>
      <c r="Q277" t="str">
        <f t="shared" si="46"/>
        <v/>
      </c>
      <c r="S277">
        <f t="shared" si="47"/>
        <v>393.5</v>
      </c>
      <c r="T277" t="str">
        <f t="shared" si="48"/>
        <v>90+ Days</v>
      </c>
      <c r="U277">
        <f t="shared" si="49"/>
        <v>8580</v>
      </c>
      <c r="V277">
        <f>tbl_inventory[[#This Row],[Units_Sold]]*tbl_inventory[[#This Row],[Revenue]]</f>
        <v>2311250</v>
      </c>
    </row>
    <row r="278" spans="1:22" x14ac:dyDescent="0.25">
      <c r="A278" s="2" t="s">
        <v>21</v>
      </c>
      <c r="B278" t="s">
        <v>55</v>
      </c>
      <c r="C278" t="s">
        <v>46</v>
      </c>
      <c r="D278" t="s">
        <v>66</v>
      </c>
      <c r="E278" s="2">
        <v>45658</v>
      </c>
      <c r="F278" s="3">
        <v>496</v>
      </c>
      <c r="G278">
        <v>148</v>
      </c>
      <c r="H278">
        <v>348</v>
      </c>
      <c r="I278">
        <v>30</v>
      </c>
      <c r="J278">
        <v>50</v>
      </c>
      <c r="K278">
        <f t="shared" si="40"/>
        <v>7400</v>
      </c>
      <c r="L278">
        <f t="shared" si="41"/>
        <v>4440</v>
      </c>
      <c r="M278">
        <f t="shared" si="42"/>
        <v>2960</v>
      </c>
      <c r="N278" s="4">
        <f t="shared" si="43"/>
        <v>0.4</v>
      </c>
      <c r="O278" t="str">
        <f t="shared" si="44"/>
        <v>Normal</v>
      </c>
      <c r="P278" t="str">
        <f t="shared" si="45"/>
        <v/>
      </c>
      <c r="Q278" t="str">
        <f t="shared" si="46"/>
        <v/>
      </c>
      <c r="S278">
        <f t="shared" si="47"/>
        <v>422</v>
      </c>
      <c r="T278" t="str">
        <f t="shared" si="48"/>
        <v>90+ Days</v>
      </c>
      <c r="U278">
        <f t="shared" si="49"/>
        <v>10440</v>
      </c>
      <c r="V278">
        <f>tbl_inventory[[#This Row],[Units_Sold]]*tbl_inventory[[#This Row],[Revenue]]</f>
        <v>1095200</v>
      </c>
    </row>
    <row r="279" spans="1:22" x14ac:dyDescent="0.25">
      <c r="A279" s="2" t="s">
        <v>21</v>
      </c>
      <c r="B279" t="s">
        <v>55</v>
      </c>
      <c r="C279" t="s">
        <v>46</v>
      </c>
      <c r="D279" t="s">
        <v>66</v>
      </c>
      <c r="E279" s="2">
        <v>45689</v>
      </c>
      <c r="F279" s="3">
        <v>341</v>
      </c>
      <c r="G279">
        <v>103</v>
      </c>
      <c r="H279">
        <v>238</v>
      </c>
      <c r="I279">
        <v>30</v>
      </c>
      <c r="J279">
        <v>50</v>
      </c>
      <c r="K279">
        <f t="shared" si="40"/>
        <v>5150</v>
      </c>
      <c r="L279">
        <f t="shared" si="41"/>
        <v>3090</v>
      </c>
      <c r="M279">
        <f t="shared" si="42"/>
        <v>2060</v>
      </c>
      <c r="N279" s="4">
        <f t="shared" si="43"/>
        <v>0.4</v>
      </c>
      <c r="O279" t="str">
        <f t="shared" si="44"/>
        <v>Normal</v>
      </c>
      <c r="P279" t="str">
        <f t="shared" si="45"/>
        <v/>
      </c>
      <c r="Q279" t="str">
        <f t="shared" si="46"/>
        <v/>
      </c>
      <c r="S279">
        <f t="shared" si="47"/>
        <v>289.5</v>
      </c>
      <c r="T279" t="str">
        <f t="shared" si="48"/>
        <v>90+ Days</v>
      </c>
      <c r="U279">
        <f t="shared" si="49"/>
        <v>7140</v>
      </c>
      <c r="V279">
        <f>tbl_inventory[[#This Row],[Units_Sold]]*tbl_inventory[[#This Row],[Revenue]]</f>
        <v>530450</v>
      </c>
    </row>
    <row r="280" spans="1:22" x14ac:dyDescent="0.25">
      <c r="A280" s="2" t="s">
        <v>21</v>
      </c>
      <c r="B280" t="s">
        <v>55</v>
      </c>
      <c r="C280" t="s">
        <v>46</v>
      </c>
      <c r="D280" t="s">
        <v>66</v>
      </c>
      <c r="E280" s="2">
        <v>45717</v>
      </c>
      <c r="F280" s="3">
        <v>491</v>
      </c>
      <c r="G280">
        <v>210</v>
      </c>
      <c r="H280">
        <v>281</v>
      </c>
      <c r="I280">
        <v>30</v>
      </c>
      <c r="J280">
        <v>50</v>
      </c>
      <c r="K280">
        <f t="shared" si="40"/>
        <v>10500</v>
      </c>
      <c r="L280">
        <f t="shared" si="41"/>
        <v>6300</v>
      </c>
      <c r="M280">
        <f t="shared" si="42"/>
        <v>4200</v>
      </c>
      <c r="N280" s="4">
        <f t="shared" si="43"/>
        <v>0.4</v>
      </c>
      <c r="O280" t="str">
        <f t="shared" si="44"/>
        <v>Normal</v>
      </c>
      <c r="P280" t="str">
        <f t="shared" si="45"/>
        <v/>
      </c>
      <c r="Q280" t="str">
        <f t="shared" si="46"/>
        <v/>
      </c>
      <c r="S280">
        <f t="shared" si="47"/>
        <v>386</v>
      </c>
      <c r="T280" t="str">
        <f t="shared" si="48"/>
        <v>90+ Days</v>
      </c>
      <c r="U280">
        <f t="shared" si="49"/>
        <v>8430</v>
      </c>
      <c r="V280">
        <f>tbl_inventory[[#This Row],[Units_Sold]]*tbl_inventory[[#This Row],[Revenue]]</f>
        <v>2205000</v>
      </c>
    </row>
    <row r="281" spans="1:22" x14ac:dyDescent="0.25">
      <c r="A281" s="2" t="s">
        <v>21</v>
      </c>
      <c r="B281" t="s">
        <v>55</v>
      </c>
      <c r="C281" t="s">
        <v>46</v>
      </c>
      <c r="D281" t="s">
        <v>66</v>
      </c>
      <c r="E281" s="2">
        <v>45748</v>
      </c>
      <c r="F281" s="3">
        <v>787</v>
      </c>
      <c r="G281">
        <v>215</v>
      </c>
      <c r="H281">
        <v>572</v>
      </c>
      <c r="I281">
        <v>30</v>
      </c>
      <c r="J281">
        <v>50</v>
      </c>
      <c r="K281">
        <f t="shared" si="40"/>
        <v>10750</v>
      </c>
      <c r="L281">
        <f t="shared" si="41"/>
        <v>6450</v>
      </c>
      <c r="M281">
        <f t="shared" si="42"/>
        <v>4300</v>
      </c>
      <c r="N281" s="4">
        <f t="shared" si="43"/>
        <v>0.4</v>
      </c>
      <c r="O281" t="str">
        <f t="shared" si="44"/>
        <v>Normal</v>
      </c>
      <c r="P281" t="str">
        <f t="shared" si="45"/>
        <v/>
      </c>
      <c r="Q281" t="str">
        <f t="shared" si="46"/>
        <v/>
      </c>
      <c r="S281">
        <f t="shared" si="47"/>
        <v>679.5</v>
      </c>
      <c r="T281" t="str">
        <f t="shared" si="48"/>
        <v>90+ Days</v>
      </c>
      <c r="U281">
        <f t="shared" si="49"/>
        <v>17160</v>
      </c>
      <c r="V281">
        <f>tbl_inventory[[#This Row],[Units_Sold]]*tbl_inventory[[#This Row],[Revenue]]</f>
        <v>2311250</v>
      </c>
    </row>
    <row r="282" spans="1:22" x14ac:dyDescent="0.25">
      <c r="A282" s="2" t="s">
        <v>21</v>
      </c>
      <c r="B282" t="s">
        <v>55</v>
      </c>
      <c r="C282" t="s">
        <v>46</v>
      </c>
      <c r="D282" t="s">
        <v>66</v>
      </c>
      <c r="E282" s="2">
        <v>45778</v>
      </c>
      <c r="F282" s="3">
        <v>518</v>
      </c>
      <c r="G282">
        <v>362</v>
      </c>
      <c r="H282">
        <v>156</v>
      </c>
      <c r="I282">
        <v>30</v>
      </c>
      <c r="J282">
        <v>50</v>
      </c>
      <c r="K282">
        <f t="shared" si="40"/>
        <v>18100</v>
      </c>
      <c r="L282">
        <f t="shared" si="41"/>
        <v>10860</v>
      </c>
      <c r="M282">
        <f t="shared" si="42"/>
        <v>7240</v>
      </c>
      <c r="N282" s="4">
        <f t="shared" si="43"/>
        <v>0.4</v>
      </c>
      <c r="O282" t="str">
        <f t="shared" si="44"/>
        <v>Normal</v>
      </c>
      <c r="P282" t="str">
        <f t="shared" si="45"/>
        <v/>
      </c>
      <c r="Q282" t="str">
        <f t="shared" si="46"/>
        <v/>
      </c>
      <c r="S282">
        <f t="shared" si="47"/>
        <v>337</v>
      </c>
      <c r="T282" t="str">
        <f t="shared" si="48"/>
        <v>60-90 Days</v>
      </c>
      <c r="U282">
        <f t="shared" si="49"/>
        <v>4680</v>
      </c>
      <c r="V282">
        <f>tbl_inventory[[#This Row],[Units_Sold]]*tbl_inventory[[#This Row],[Revenue]]</f>
        <v>6552200</v>
      </c>
    </row>
    <row r="283" spans="1:22" x14ac:dyDescent="0.25">
      <c r="A283" s="2" t="s">
        <v>21</v>
      </c>
      <c r="B283" t="s">
        <v>55</v>
      </c>
      <c r="C283" t="s">
        <v>46</v>
      </c>
      <c r="D283" t="s">
        <v>66</v>
      </c>
      <c r="E283" s="2">
        <v>45809</v>
      </c>
      <c r="F283" s="3">
        <v>346</v>
      </c>
      <c r="G283">
        <v>326</v>
      </c>
      <c r="H283">
        <v>20</v>
      </c>
      <c r="I283">
        <v>30</v>
      </c>
      <c r="J283">
        <v>50</v>
      </c>
      <c r="K283">
        <f t="shared" si="40"/>
        <v>16300</v>
      </c>
      <c r="L283">
        <f t="shared" si="41"/>
        <v>9780</v>
      </c>
      <c r="M283">
        <f t="shared" si="42"/>
        <v>6520</v>
      </c>
      <c r="N283" s="4">
        <f t="shared" si="43"/>
        <v>0.4</v>
      </c>
      <c r="O283" t="str">
        <f t="shared" si="44"/>
        <v>Normal</v>
      </c>
      <c r="P283" t="str">
        <f t="shared" si="45"/>
        <v/>
      </c>
      <c r="Q283" t="str">
        <f t="shared" si="46"/>
        <v/>
      </c>
      <c r="S283">
        <f t="shared" si="47"/>
        <v>183</v>
      </c>
      <c r="T283" t="str">
        <f t="shared" si="48"/>
        <v>0-30 Days</v>
      </c>
      <c r="U283">
        <f t="shared" si="49"/>
        <v>600</v>
      </c>
      <c r="V283">
        <f>tbl_inventory[[#This Row],[Units_Sold]]*tbl_inventory[[#This Row],[Revenue]]</f>
        <v>5313800</v>
      </c>
    </row>
    <row r="284" spans="1:22" x14ac:dyDescent="0.25">
      <c r="A284" s="2" t="s">
        <v>21</v>
      </c>
      <c r="B284" t="s">
        <v>55</v>
      </c>
      <c r="C284" t="s">
        <v>46</v>
      </c>
      <c r="D284" t="s">
        <v>67</v>
      </c>
      <c r="E284" s="2">
        <v>45658</v>
      </c>
      <c r="F284" s="3">
        <v>715</v>
      </c>
      <c r="G284">
        <v>104</v>
      </c>
      <c r="H284">
        <v>611</v>
      </c>
      <c r="I284">
        <v>30</v>
      </c>
      <c r="J284">
        <v>50</v>
      </c>
      <c r="K284">
        <f t="shared" si="40"/>
        <v>5200</v>
      </c>
      <c r="L284">
        <f t="shared" si="41"/>
        <v>3120</v>
      </c>
      <c r="M284">
        <f t="shared" si="42"/>
        <v>2080</v>
      </c>
      <c r="N284" s="4">
        <f t="shared" si="43"/>
        <v>0.4</v>
      </c>
      <c r="O284" t="str">
        <f t="shared" si="44"/>
        <v>Normal</v>
      </c>
      <c r="P284" t="str">
        <f t="shared" si="45"/>
        <v/>
      </c>
      <c r="Q284" t="str">
        <f t="shared" si="46"/>
        <v/>
      </c>
      <c r="S284">
        <f t="shared" si="47"/>
        <v>663</v>
      </c>
      <c r="T284" t="str">
        <f t="shared" si="48"/>
        <v>90+ Days</v>
      </c>
      <c r="U284">
        <f t="shared" si="49"/>
        <v>18330</v>
      </c>
      <c r="V284">
        <f>tbl_inventory[[#This Row],[Units_Sold]]*tbl_inventory[[#This Row],[Revenue]]</f>
        <v>540800</v>
      </c>
    </row>
    <row r="285" spans="1:22" x14ac:dyDescent="0.25">
      <c r="A285" s="2" t="s">
        <v>21</v>
      </c>
      <c r="B285" t="s">
        <v>55</v>
      </c>
      <c r="C285" t="s">
        <v>46</v>
      </c>
      <c r="D285" t="s">
        <v>67</v>
      </c>
      <c r="E285" s="2">
        <v>45689</v>
      </c>
      <c r="F285" s="3">
        <v>495</v>
      </c>
      <c r="G285">
        <v>326</v>
      </c>
      <c r="H285">
        <v>169</v>
      </c>
      <c r="I285">
        <v>30</v>
      </c>
      <c r="J285">
        <v>50</v>
      </c>
      <c r="K285">
        <f t="shared" si="40"/>
        <v>16300</v>
      </c>
      <c r="L285">
        <f t="shared" si="41"/>
        <v>9780</v>
      </c>
      <c r="M285">
        <f t="shared" si="42"/>
        <v>6520</v>
      </c>
      <c r="N285" s="4">
        <f t="shared" si="43"/>
        <v>0.4</v>
      </c>
      <c r="O285" t="str">
        <f t="shared" si="44"/>
        <v>Normal</v>
      </c>
      <c r="P285" t="str">
        <f t="shared" si="45"/>
        <v/>
      </c>
      <c r="Q285" t="str">
        <f t="shared" si="46"/>
        <v/>
      </c>
      <c r="S285">
        <f t="shared" si="47"/>
        <v>332</v>
      </c>
      <c r="T285" t="str">
        <f t="shared" si="48"/>
        <v>60-90 Days</v>
      </c>
      <c r="U285">
        <f t="shared" si="49"/>
        <v>5070</v>
      </c>
      <c r="V285">
        <f>tbl_inventory[[#This Row],[Units_Sold]]*tbl_inventory[[#This Row],[Revenue]]</f>
        <v>5313800</v>
      </c>
    </row>
    <row r="286" spans="1:22" x14ac:dyDescent="0.25">
      <c r="A286" s="2" t="s">
        <v>21</v>
      </c>
      <c r="B286" t="s">
        <v>55</v>
      </c>
      <c r="C286" t="s">
        <v>46</v>
      </c>
      <c r="D286" t="s">
        <v>67</v>
      </c>
      <c r="E286" s="2">
        <v>45717</v>
      </c>
      <c r="F286" s="3">
        <v>550</v>
      </c>
      <c r="G286">
        <v>322</v>
      </c>
      <c r="H286">
        <v>228</v>
      </c>
      <c r="I286">
        <v>30</v>
      </c>
      <c r="J286">
        <v>50</v>
      </c>
      <c r="K286">
        <f t="shared" si="40"/>
        <v>16100</v>
      </c>
      <c r="L286">
        <f t="shared" si="41"/>
        <v>9660</v>
      </c>
      <c r="M286">
        <f t="shared" si="42"/>
        <v>6440</v>
      </c>
      <c r="N286" s="4">
        <f t="shared" si="43"/>
        <v>0.4</v>
      </c>
      <c r="O286" t="str">
        <f t="shared" si="44"/>
        <v>Normal</v>
      </c>
      <c r="P286" t="str">
        <f t="shared" si="45"/>
        <v/>
      </c>
      <c r="Q286" t="str">
        <f t="shared" si="46"/>
        <v/>
      </c>
      <c r="S286">
        <f t="shared" si="47"/>
        <v>389</v>
      </c>
      <c r="T286" t="str">
        <f t="shared" si="48"/>
        <v>90+ Days</v>
      </c>
      <c r="U286">
        <f t="shared" si="49"/>
        <v>6840</v>
      </c>
      <c r="V286">
        <f>tbl_inventory[[#This Row],[Units_Sold]]*tbl_inventory[[#This Row],[Revenue]]</f>
        <v>5184200</v>
      </c>
    </row>
    <row r="287" spans="1:22" x14ac:dyDescent="0.25">
      <c r="A287" s="2" t="s">
        <v>21</v>
      </c>
      <c r="B287" t="s">
        <v>55</v>
      </c>
      <c r="C287" t="s">
        <v>46</v>
      </c>
      <c r="D287" t="s">
        <v>67</v>
      </c>
      <c r="E287" s="2">
        <v>45748</v>
      </c>
      <c r="F287" s="3">
        <v>719</v>
      </c>
      <c r="G287">
        <v>434</v>
      </c>
      <c r="H287">
        <v>285</v>
      </c>
      <c r="I287">
        <v>30</v>
      </c>
      <c r="J287">
        <v>50</v>
      </c>
      <c r="K287">
        <f t="shared" si="40"/>
        <v>21700</v>
      </c>
      <c r="L287">
        <f t="shared" si="41"/>
        <v>13020</v>
      </c>
      <c r="M287">
        <f t="shared" si="42"/>
        <v>8680</v>
      </c>
      <c r="N287" s="4">
        <f t="shared" si="43"/>
        <v>0.4</v>
      </c>
      <c r="O287" t="str">
        <f t="shared" si="44"/>
        <v>Normal</v>
      </c>
      <c r="P287" t="str">
        <f t="shared" si="45"/>
        <v/>
      </c>
      <c r="Q287" t="str">
        <f t="shared" si="46"/>
        <v/>
      </c>
      <c r="S287">
        <f t="shared" si="47"/>
        <v>502</v>
      </c>
      <c r="T287" t="str">
        <f t="shared" si="48"/>
        <v>90+ Days</v>
      </c>
      <c r="U287">
        <f t="shared" si="49"/>
        <v>8550</v>
      </c>
      <c r="V287">
        <f>tbl_inventory[[#This Row],[Units_Sold]]*tbl_inventory[[#This Row],[Revenue]]</f>
        <v>9417800</v>
      </c>
    </row>
    <row r="288" spans="1:22" x14ac:dyDescent="0.25">
      <c r="A288" s="2" t="s">
        <v>21</v>
      </c>
      <c r="B288" t="s">
        <v>55</v>
      </c>
      <c r="C288" t="s">
        <v>46</v>
      </c>
      <c r="D288" t="s">
        <v>67</v>
      </c>
      <c r="E288" s="2">
        <v>45778</v>
      </c>
      <c r="F288" s="3">
        <v>555</v>
      </c>
      <c r="G288">
        <v>553</v>
      </c>
      <c r="H288">
        <v>2</v>
      </c>
      <c r="I288">
        <v>30</v>
      </c>
      <c r="J288">
        <v>50</v>
      </c>
      <c r="K288">
        <f t="shared" si="40"/>
        <v>27650</v>
      </c>
      <c r="L288">
        <f t="shared" si="41"/>
        <v>16590</v>
      </c>
      <c r="M288">
        <f t="shared" si="42"/>
        <v>11060</v>
      </c>
      <c r="N288" s="4">
        <f t="shared" si="43"/>
        <v>0.4</v>
      </c>
      <c r="O288" t="str">
        <f t="shared" si="44"/>
        <v>Normal</v>
      </c>
      <c r="P288" t="str">
        <f t="shared" si="45"/>
        <v/>
      </c>
      <c r="Q288" t="str">
        <f t="shared" si="46"/>
        <v/>
      </c>
      <c r="S288">
        <f t="shared" si="47"/>
        <v>278.5</v>
      </c>
      <c r="T288" t="str">
        <f t="shared" si="48"/>
        <v>0-30 Days</v>
      </c>
      <c r="U288">
        <f t="shared" si="49"/>
        <v>60</v>
      </c>
      <c r="V288">
        <f>tbl_inventory[[#This Row],[Units_Sold]]*tbl_inventory[[#This Row],[Revenue]]</f>
        <v>15290450</v>
      </c>
    </row>
    <row r="289" spans="1:22" x14ac:dyDescent="0.25">
      <c r="A289" s="2" t="s">
        <v>21</v>
      </c>
      <c r="B289" t="s">
        <v>55</v>
      </c>
      <c r="C289" t="s">
        <v>46</v>
      </c>
      <c r="D289" t="s">
        <v>67</v>
      </c>
      <c r="E289" s="2">
        <v>45809</v>
      </c>
      <c r="F289" s="3">
        <v>468</v>
      </c>
      <c r="G289">
        <v>154</v>
      </c>
      <c r="H289">
        <v>314</v>
      </c>
      <c r="I289">
        <v>30</v>
      </c>
      <c r="J289">
        <v>50</v>
      </c>
      <c r="K289">
        <f t="shared" si="40"/>
        <v>7700</v>
      </c>
      <c r="L289">
        <f t="shared" si="41"/>
        <v>4620</v>
      </c>
      <c r="M289">
        <f t="shared" si="42"/>
        <v>3080</v>
      </c>
      <c r="N289" s="4">
        <f t="shared" si="43"/>
        <v>0.4</v>
      </c>
      <c r="O289" t="str">
        <f t="shared" si="44"/>
        <v>Normal</v>
      </c>
      <c r="P289" t="str">
        <f t="shared" si="45"/>
        <v/>
      </c>
      <c r="Q289" t="str">
        <f t="shared" si="46"/>
        <v/>
      </c>
      <c r="S289">
        <f t="shared" si="47"/>
        <v>391</v>
      </c>
      <c r="T289" t="str">
        <f t="shared" si="48"/>
        <v>90+ Days</v>
      </c>
      <c r="U289">
        <f t="shared" si="49"/>
        <v>9420</v>
      </c>
      <c r="V289">
        <f>tbl_inventory[[#This Row],[Units_Sold]]*tbl_inventory[[#This Row],[Revenue]]</f>
        <v>1185800</v>
      </c>
    </row>
    <row r="290" spans="1:22" x14ac:dyDescent="0.25">
      <c r="A290" s="2" t="s">
        <v>22</v>
      </c>
      <c r="B290" t="s">
        <v>43</v>
      </c>
      <c r="C290" t="s">
        <v>47</v>
      </c>
      <c r="D290" t="s">
        <v>64</v>
      </c>
      <c r="E290" s="2">
        <v>45658</v>
      </c>
      <c r="F290" s="3">
        <v>108</v>
      </c>
      <c r="G290">
        <v>0</v>
      </c>
      <c r="H290">
        <v>108</v>
      </c>
      <c r="I290">
        <v>300</v>
      </c>
      <c r="J290">
        <v>800</v>
      </c>
      <c r="K290">
        <f t="shared" si="40"/>
        <v>0</v>
      </c>
      <c r="L290">
        <f t="shared" si="41"/>
        <v>0</v>
      </c>
      <c r="M290">
        <f t="shared" si="42"/>
        <v>0</v>
      </c>
      <c r="N290" s="4">
        <f t="shared" si="43"/>
        <v>0</v>
      </c>
      <c r="O290" t="str">
        <f t="shared" si="44"/>
        <v>Slow Moving</v>
      </c>
      <c r="P290" t="str">
        <f t="shared" si="45"/>
        <v>Dead Stock</v>
      </c>
      <c r="Q290" t="str">
        <f t="shared" si="46"/>
        <v>Low Margin</v>
      </c>
      <c r="S290">
        <f t="shared" si="47"/>
        <v>108</v>
      </c>
      <c r="T290" t="str">
        <f t="shared" si="48"/>
        <v>60-90 Days</v>
      </c>
      <c r="U290">
        <f t="shared" si="49"/>
        <v>32400</v>
      </c>
      <c r="V290">
        <f>tbl_inventory[[#This Row],[Units_Sold]]*tbl_inventory[[#This Row],[Revenue]]</f>
        <v>0</v>
      </c>
    </row>
    <row r="291" spans="1:22" x14ac:dyDescent="0.25">
      <c r="A291" s="2" t="s">
        <v>22</v>
      </c>
      <c r="B291" t="s">
        <v>43</v>
      </c>
      <c r="C291" t="s">
        <v>47</v>
      </c>
      <c r="D291" t="s">
        <v>64</v>
      </c>
      <c r="E291" s="2">
        <v>45689</v>
      </c>
      <c r="F291" s="3">
        <v>91</v>
      </c>
      <c r="G291">
        <v>8</v>
      </c>
      <c r="H291">
        <v>83</v>
      </c>
      <c r="I291">
        <v>300</v>
      </c>
      <c r="J291">
        <v>800</v>
      </c>
      <c r="K291">
        <f t="shared" si="40"/>
        <v>6400</v>
      </c>
      <c r="L291">
        <f t="shared" si="41"/>
        <v>2400</v>
      </c>
      <c r="M291">
        <f t="shared" si="42"/>
        <v>4000</v>
      </c>
      <c r="N291" s="4">
        <f t="shared" si="43"/>
        <v>0.625</v>
      </c>
      <c r="O291" t="str">
        <f t="shared" si="44"/>
        <v>Slow Moving</v>
      </c>
      <c r="P291" t="str">
        <f t="shared" si="45"/>
        <v/>
      </c>
      <c r="Q291" t="str">
        <f t="shared" si="46"/>
        <v/>
      </c>
      <c r="S291">
        <f t="shared" si="47"/>
        <v>87</v>
      </c>
      <c r="T291" t="str">
        <f t="shared" si="48"/>
        <v>30-60 Days</v>
      </c>
      <c r="U291">
        <f t="shared" si="49"/>
        <v>24900</v>
      </c>
      <c r="V291">
        <f>tbl_inventory[[#This Row],[Units_Sold]]*tbl_inventory[[#This Row],[Revenue]]</f>
        <v>51200</v>
      </c>
    </row>
    <row r="292" spans="1:22" x14ac:dyDescent="0.25">
      <c r="A292" s="2" t="s">
        <v>22</v>
      </c>
      <c r="B292" t="s">
        <v>43</v>
      </c>
      <c r="C292" t="s">
        <v>47</v>
      </c>
      <c r="D292" t="s">
        <v>64</v>
      </c>
      <c r="E292" s="2">
        <v>45717</v>
      </c>
      <c r="F292" s="3">
        <v>180</v>
      </c>
      <c r="G292">
        <v>6</v>
      </c>
      <c r="H292">
        <v>174</v>
      </c>
      <c r="I292">
        <v>300</v>
      </c>
      <c r="J292">
        <v>800</v>
      </c>
      <c r="K292">
        <f t="shared" si="40"/>
        <v>4800</v>
      </c>
      <c r="L292">
        <f t="shared" si="41"/>
        <v>1800</v>
      </c>
      <c r="M292">
        <f t="shared" si="42"/>
        <v>3000</v>
      </c>
      <c r="N292" s="4">
        <f t="shared" si="43"/>
        <v>0.625</v>
      </c>
      <c r="O292" t="str">
        <f t="shared" si="44"/>
        <v>Slow Moving</v>
      </c>
      <c r="P292" t="str">
        <f t="shared" si="45"/>
        <v/>
      </c>
      <c r="Q292" t="str">
        <f t="shared" si="46"/>
        <v/>
      </c>
      <c r="S292">
        <f t="shared" si="47"/>
        <v>177</v>
      </c>
      <c r="T292" t="str">
        <f t="shared" si="48"/>
        <v>60-90 Days</v>
      </c>
      <c r="U292">
        <f t="shared" si="49"/>
        <v>52200</v>
      </c>
      <c r="V292">
        <f>tbl_inventory[[#This Row],[Units_Sold]]*tbl_inventory[[#This Row],[Revenue]]</f>
        <v>28800</v>
      </c>
    </row>
    <row r="293" spans="1:22" x14ac:dyDescent="0.25">
      <c r="A293" s="2" t="s">
        <v>22</v>
      </c>
      <c r="B293" t="s">
        <v>43</v>
      </c>
      <c r="C293" t="s">
        <v>47</v>
      </c>
      <c r="D293" t="s">
        <v>64</v>
      </c>
      <c r="E293" s="2">
        <v>45748</v>
      </c>
      <c r="F293" s="3">
        <v>163</v>
      </c>
      <c r="G293">
        <v>110</v>
      </c>
      <c r="H293">
        <v>53</v>
      </c>
      <c r="I293">
        <v>300</v>
      </c>
      <c r="J293">
        <v>800</v>
      </c>
      <c r="K293">
        <f t="shared" si="40"/>
        <v>88000</v>
      </c>
      <c r="L293">
        <f t="shared" si="41"/>
        <v>33000</v>
      </c>
      <c r="M293">
        <f t="shared" si="42"/>
        <v>55000</v>
      </c>
      <c r="N293" s="4">
        <f t="shared" si="43"/>
        <v>0.625</v>
      </c>
      <c r="O293" t="str">
        <f t="shared" si="44"/>
        <v>Normal</v>
      </c>
      <c r="P293" t="str">
        <f t="shared" si="45"/>
        <v/>
      </c>
      <c r="Q293" t="str">
        <f t="shared" si="46"/>
        <v/>
      </c>
      <c r="S293">
        <f t="shared" si="47"/>
        <v>108</v>
      </c>
      <c r="T293" t="str">
        <f t="shared" si="48"/>
        <v>30-60 Days</v>
      </c>
      <c r="U293">
        <f t="shared" si="49"/>
        <v>15900</v>
      </c>
      <c r="V293">
        <f>tbl_inventory[[#This Row],[Units_Sold]]*tbl_inventory[[#This Row],[Revenue]]</f>
        <v>9680000</v>
      </c>
    </row>
    <row r="294" spans="1:22" x14ac:dyDescent="0.25">
      <c r="A294" s="2" t="s">
        <v>22</v>
      </c>
      <c r="B294" t="s">
        <v>43</v>
      </c>
      <c r="C294" t="s">
        <v>47</v>
      </c>
      <c r="D294" t="s">
        <v>64</v>
      </c>
      <c r="E294" s="2">
        <v>45778</v>
      </c>
      <c r="F294" s="3">
        <v>262</v>
      </c>
      <c r="G294">
        <v>91</v>
      </c>
      <c r="H294">
        <v>171</v>
      </c>
      <c r="I294">
        <v>300</v>
      </c>
      <c r="J294">
        <v>800</v>
      </c>
      <c r="K294">
        <f t="shared" si="40"/>
        <v>72800</v>
      </c>
      <c r="L294">
        <f t="shared" si="41"/>
        <v>27300</v>
      </c>
      <c r="M294">
        <f t="shared" si="42"/>
        <v>45500</v>
      </c>
      <c r="N294" s="4">
        <f t="shared" si="43"/>
        <v>0.625</v>
      </c>
      <c r="O294" t="str">
        <f t="shared" si="44"/>
        <v>Normal</v>
      </c>
      <c r="P294" t="str">
        <f t="shared" si="45"/>
        <v/>
      </c>
      <c r="Q294" t="str">
        <f t="shared" si="46"/>
        <v/>
      </c>
      <c r="S294">
        <f t="shared" si="47"/>
        <v>216.5</v>
      </c>
      <c r="T294" t="str">
        <f t="shared" si="48"/>
        <v>60-90 Days</v>
      </c>
      <c r="U294">
        <f t="shared" si="49"/>
        <v>51300</v>
      </c>
      <c r="V294">
        <f>tbl_inventory[[#This Row],[Units_Sold]]*tbl_inventory[[#This Row],[Revenue]]</f>
        <v>6624800</v>
      </c>
    </row>
    <row r="295" spans="1:22" x14ac:dyDescent="0.25">
      <c r="A295" s="2" t="s">
        <v>22</v>
      </c>
      <c r="B295" t="s">
        <v>43</v>
      </c>
      <c r="C295" t="s">
        <v>47</v>
      </c>
      <c r="D295" t="s">
        <v>64</v>
      </c>
      <c r="E295" s="2">
        <v>45809</v>
      </c>
      <c r="F295" s="3">
        <v>101</v>
      </c>
      <c r="G295">
        <v>42</v>
      </c>
      <c r="H295">
        <v>59</v>
      </c>
      <c r="I295">
        <v>300</v>
      </c>
      <c r="J295">
        <v>800</v>
      </c>
      <c r="K295">
        <f t="shared" si="40"/>
        <v>33600</v>
      </c>
      <c r="L295">
        <f t="shared" si="41"/>
        <v>12600</v>
      </c>
      <c r="M295">
        <f t="shared" si="42"/>
        <v>21000</v>
      </c>
      <c r="N295" s="4">
        <f t="shared" si="43"/>
        <v>0.625</v>
      </c>
      <c r="O295" t="str">
        <f t="shared" si="44"/>
        <v>Normal</v>
      </c>
      <c r="P295" t="str">
        <f t="shared" si="45"/>
        <v/>
      </c>
      <c r="Q295" t="str">
        <f t="shared" si="46"/>
        <v/>
      </c>
      <c r="S295">
        <f t="shared" si="47"/>
        <v>80</v>
      </c>
      <c r="T295" t="str">
        <f t="shared" si="48"/>
        <v>30-60 Days</v>
      </c>
      <c r="U295">
        <f t="shared" si="49"/>
        <v>17700</v>
      </c>
      <c r="V295">
        <f>tbl_inventory[[#This Row],[Units_Sold]]*tbl_inventory[[#This Row],[Revenue]]</f>
        <v>1411200</v>
      </c>
    </row>
    <row r="296" spans="1:22" x14ac:dyDescent="0.25">
      <c r="A296" s="2" t="s">
        <v>22</v>
      </c>
      <c r="B296" t="s">
        <v>43</v>
      </c>
      <c r="C296" t="s">
        <v>47</v>
      </c>
      <c r="D296" t="s">
        <v>65</v>
      </c>
      <c r="E296" s="2">
        <v>45658</v>
      </c>
      <c r="F296" s="3">
        <v>63</v>
      </c>
      <c r="G296">
        <v>30</v>
      </c>
      <c r="H296">
        <v>33</v>
      </c>
      <c r="I296">
        <v>300</v>
      </c>
      <c r="J296">
        <v>800</v>
      </c>
      <c r="K296">
        <f t="shared" si="40"/>
        <v>24000</v>
      </c>
      <c r="L296">
        <f t="shared" si="41"/>
        <v>9000</v>
      </c>
      <c r="M296">
        <f t="shared" si="42"/>
        <v>15000</v>
      </c>
      <c r="N296" s="4">
        <f t="shared" si="43"/>
        <v>0.625</v>
      </c>
      <c r="O296" t="str">
        <f t="shared" si="44"/>
        <v>Normal</v>
      </c>
      <c r="P296" t="str">
        <f t="shared" si="45"/>
        <v/>
      </c>
      <c r="Q296" t="str">
        <f t="shared" si="46"/>
        <v/>
      </c>
      <c r="S296">
        <f t="shared" si="47"/>
        <v>48</v>
      </c>
      <c r="T296" t="str">
        <f t="shared" si="48"/>
        <v>0-30 Days</v>
      </c>
      <c r="U296">
        <f t="shared" si="49"/>
        <v>9900</v>
      </c>
      <c r="V296">
        <f>tbl_inventory[[#This Row],[Units_Sold]]*tbl_inventory[[#This Row],[Revenue]]</f>
        <v>720000</v>
      </c>
    </row>
    <row r="297" spans="1:22" x14ac:dyDescent="0.25">
      <c r="A297" s="2" t="s">
        <v>22</v>
      </c>
      <c r="B297" t="s">
        <v>43</v>
      </c>
      <c r="C297" t="s">
        <v>47</v>
      </c>
      <c r="D297" t="s">
        <v>65</v>
      </c>
      <c r="E297" s="2">
        <v>45689</v>
      </c>
      <c r="F297" s="3">
        <v>202</v>
      </c>
      <c r="G297">
        <v>12</v>
      </c>
      <c r="H297">
        <v>190</v>
      </c>
      <c r="I297">
        <v>300</v>
      </c>
      <c r="J297">
        <v>800</v>
      </c>
      <c r="K297">
        <f t="shared" si="40"/>
        <v>9600</v>
      </c>
      <c r="L297">
        <f t="shared" si="41"/>
        <v>3600</v>
      </c>
      <c r="M297">
        <f t="shared" si="42"/>
        <v>6000</v>
      </c>
      <c r="N297" s="4">
        <f t="shared" si="43"/>
        <v>0.625</v>
      </c>
      <c r="O297" t="str">
        <f t="shared" si="44"/>
        <v>Slow Moving</v>
      </c>
      <c r="P297" t="str">
        <f t="shared" si="45"/>
        <v/>
      </c>
      <c r="Q297" t="str">
        <f t="shared" si="46"/>
        <v/>
      </c>
      <c r="S297">
        <f t="shared" si="47"/>
        <v>196</v>
      </c>
      <c r="T297" t="str">
        <f t="shared" si="48"/>
        <v>60-90 Days</v>
      </c>
      <c r="U297">
        <f t="shared" si="49"/>
        <v>57000</v>
      </c>
      <c r="V297">
        <f>tbl_inventory[[#This Row],[Units_Sold]]*tbl_inventory[[#This Row],[Revenue]]</f>
        <v>115200</v>
      </c>
    </row>
    <row r="298" spans="1:22" x14ac:dyDescent="0.25">
      <c r="A298" s="2" t="s">
        <v>22</v>
      </c>
      <c r="B298" t="s">
        <v>43</v>
      </c>
      <c r="C298" t="s">
        <v>47</v>
      </c>
      <c r="D298" t="s">
        <v>65</v>
      </c>
      <c r="E298" s="2">
        <v>45717</v>
      </c>
      <c r="F298" s="3">
        <v>258</v>
      </c>
      <c r="G298">
        <v>256</v>
      </c>
      <c r="H298">
        <v>2</v>
      </c>
      <c r="I298">
        <v>300</v>
      </c>
      <c r="J298">
        <v>800</v>
      </c>
      <c r="K298">
        <f t="shared" si="40"/>
        <v>204800</v>
      </c>
      <c r="L298">
        <f t="shared" si="41"/>
        <v>76800</v>
      </c>
      <c r="M298">
        <f t="shared" si="42"/>
        <v>128000</v>
      </c>
      <c r="N298" s="4">
        <f t="shared" si="43"/>
        <v>0.625</v>
      </c>
      <c r="O298" t="str">
        <f t="shared" si="44"/>
        <v>Normal</v>
      </c>
      <c r="P298" t="str">
        <f t="shared" si="45"/>
        <v/>
      </c>
      <c r="Q298" t="str">
        <f t="shared" si="46"/>
        <v/>
      </c>
      <c r="S298">
        <f t="shared" si="47"/>
        <v>130</v>
      </c>
      <c r="T298" t="str">
        <f t="shared" si="48"/>
        <v>0-30 Days</v>
      </c>
      <c r="U298">
        <f t="shared" si="49"/>
        <v>600</v>
      </c>
      <c r="V298">
        <f>tbl_inventory[[#This Row],[Units_Sold]]*tbl_inventory[[#This Row],[Revenue]]</f>
        <v>52428800</v>
      </c>
    </row>
    <row r="299" spans="1:22" x14ac:dyDescent="0.25">
      <c r="A299" s="2" t="s">
        <v>22</v>
      </c>
      <c r="B299" t="s">
        <v>43</v>
      </c>
      <c r="C299" t="s">
        <v>47</v>
      </c>
      <c r="D299" t="s">
        <v>65</v>
      </c>
      <c r="E299" s="2">
        <v>45748</v>
      </c>
      <c r="F299" s="3">
        <v>140</v>
      </c>
      <c r="G299">
        <v>131</v>
      </c>
      <c r="H299">
        <v>9</v>
      </c>
      <c r="I299">
        <v>300</v>
      </c>
      <c r="J299">
        <v>800</v>
      </c>
      <c r="K299">
        <f t="shared" si="40"/>
        <v>104800</v>
      </c>
      <c r="L299">
        <f t="shared" si="41"/>
        <v>39300</v>
      </c>
      <c r="M299">
        <f t="shared" si="42"/>
        <v>65500</v>
      </c>
      <c r="N299" s="4">
        <f t="shared" si="43"/>
        <v>0.625</v>
      </c>
      <c r="O299" t="str">
        <f t="shared" si="44"/>
        <v>Normal</v>
      </c>
      <c r="P299" t="str">
        <f t="shared" si="45"/>
        <v/>
      </c>
      <c r="Q299" t="str">
        <f t="shared" si="46"/>
        <v/>
      </c>
      <c r="S299">
        <f t="shared" si="47"/>
        <v>74.5</v>
      </c>
      <c r="T299" t="str">
        <f t="shared" si="48"/>
        <v>0-30 Days</v>
      </c>
      <c r="U299">
        <f t="shared" si="49"/>
        <v>2700</v>
      </c>
      <c r="V299">
        <f>tbl_inventory[[#This Row],[Units_Sold]]*tbl_inventory[[#This Row],[Revenue]]</f>
        <v>13728800</v>
      </c>
    </row>
    <row r="300" spans="1:22" x14ac:dyDescent="0.25">
      <c r="A300" s="2" t="s">
        <v>22</v>
      </c>
      <c r="B300" t="s">
        <v>43</v>
      </c>
      <c r="C300" t="s">
        <v>47</v>
      </c>
      <c r="D300" t="s">
        <v>65</v>
      </c>
      <c r="E300" s="2">
        <v>45778</v>
      </c>
      <c r="F300" s="3">
        <v>230</v>
      </c>
      <c r="G300">
        <v>27</v>
      </c>
      <c r="H300">
        <v>203</v>
      </c>
      <c r="I300">
        <v>300</v>
      </c>
      <c r="J300">
        <v>800</v>
      </c>
      <c r="K300">
        <f t="shared" si="40"/>
        <v>21600</v>
      </c>
      <c r="L300">
        <f t="shared" si="41"/>
        <v>8100</v>
      </c>
      <c r="M300">
        <f t="shared" si="42"/>
        <v>13500</v>
      </c>
      <c r="N300" s="4">
        <f t="shared" si="43"/>
        <v>0.625</v>
      </c>
      <c r="O300" t="str">
        <f t="shared" si="44"/>
        <v>Normal</v>
      </c>
      <c r="P300" t="str">
        <f t="shared" si="45"/>
        <v/>
      </c>
      <c r="Q300" t="str">
        <f t="shared" si="46"/>
        <v/>
      </c>
      <c r="S300">
        <f t="shared" si="47"/>
        <v>216.5</v>
      </c>
      <c r="T300" t="str">
        <f t="shared" si="48"/>
        <v>90+ Days</v>
      </c>
      <c r="U300">
        <f t="shared" si="49"/>
        <v>60900</v>
      </c>
      <c r="V300">
        <f>tbl_inventory[[#This Row],[Units_Sold]]*tbl_inventory[[#This Row],[Revenue]]</f>
        <v>583200</v>
      </c>
    </row>
    <row r="301" spans="1:22" x14ac:dyDescent="0.25">
      <c r="A301" s="2" t="s">
        <v>22</v>
      </c>
      <c r="B301" t="s">
        <v>43</v>
      </c>
      <c r="C301" t="s">
        <v>47</v>
      </c>
      <c r="D301" t="s">
        <v>65</v>
      </c>
      <c r="E301" s="2">
        <v>45809</v>
      </c>
      <c r="F301" s="3">
        <v>285</v>
      </c>
      <c r="G301">
        <v>128</v>
      </c>
      <c r="H301">
        <v>157</v>
      </c>
      <c r="I301">
        <v>300</v>
      </c>
      <c r="J301">
        <v>800</v>
      </c>
      <c r="K301">
        <f t="shared" si="40"/>
        <v>102400</v>
      </c>
      <c r="L301">
        <f t="shared" si="41"/>
        <v>38400</v>
      </c>
      <c r="M301">
        <f t="shared" si="42"/>
        <v>64000</v>
      </c>
      <c r="N301" s="4">
        <f t="shared" si="43"/>
        <v>0.625</v>
      </c>
      <c r="O301" t="str">
        <f t="shared" si="44"/>
        <v>Normal</v>
      </c>
      <c r="P301" t="str">
        <f t="shared" si="45"/>
        <v/>
      </c>
      <c r="Q301" t="str">
        <f t="shared" si="46"/>
        <v/>
      </c>
      <c r="S301">
        <f t="shared" si="47"/>
        <v>221</v>
      </c>
      <c r="T301" t="str">
        <f t="shared" si="48"/>
        <v>60-90 Days</v>
      </c>
      <c r="U301">
        <f t="shared" si="49"/>
        <v>47100</v>
      </c>
      <c r="V301">
        <f>tbl_inventory[[#This Row],[Units_Sold]]*tbl_inventory[[#This Row],[Revenue]]</f>
        <v>13107200</v>
      </c>
    </row>
    <row r="302" spans="1:22" x14ac:dyDescent="0.25">
      <c r="A302" s="2" t="s">
        <v>22</v>
      </c>
      <c r="B302" t="s">
        <v>43</v>
      </c>
      <c r="C302" t="s">
        <v>47</v>
      </c>
      <c r="D302" t="s">
        <v>66</v>
      </c>
      <c r="E302" s="2">
        <v>45658</v>
      </c>
      <c r="F302" s="3">
        <v>252</v>
      </c>
      <c r="G302">
        <v>23</v>
      </c>
      <c r="H302">
        <v>229</v>
      </c>
      <c r="I302">
        <v>300</v>
      </c>
      <c r="J302">
        <v>800</v>
      </c>
      <c r="K302">
        <f t="shared" si="40"/>
        <v>18400</v>
      </c>
      <c r="L302">
        <f t="shared" si="41"/>
        <v>6900</v>
      </c>
      <c r="M302">
        <f t="shared" si="42"/>
        <v>11500</v>
      </c>
      <c r="N302" s="4">
        <f t="shared" si="43"/>
        <v>0.625</v>
      </c>
      <c r="O302" t="str">
        <f t="shared" si="44"/>
        <v>Normal</v>
      </c>
      <c r="P302" t="str">
        <f t="shared" si="45"/>
        <v/>
      </c>
      <c r="Q302" t="str">
        <f t="shared" si="46"/>
        <v/>
      </c>
      <c r="S302">
        <f t="shared" si="47"/>
        <v>240.5</v>
      </c>
      <c r="T302" t="str">
        <f t="shared" si="48"/>
        <v>90+ Days</v>
      </c>
      <c r="U302">
        <f t="shared" si="49"/>
        <v>68700</v>
      </c>
      <c r="V302">
        <f>tbl_inventory[[#This Row],[Units_Sold]]*tbl_inventory[[#This Row],[Revenue]]</f>
        <v>423200</v>
      </c>
    </row>
    <row r="303" spans="1:22" x14ac:dyDescent="0.25">
      <c r="A303" s="2" t="s">
        <v>22</v>
      </c>
      <c r="B303" t="s">
        <v>43</v>
      </c>
      <c r="C303" t="s">
        <v>47</v>
      </c>
      <c r="D303" t="s">
        <v>66</v>
      </c>
      <c r="E303" s="2">
        <v>45689</v>
      </c>
      <c r="F303" s="3">
        <v>69</v>
      </c>
      <c r="G303">
        <v>42</v>
      </c>
      <c r="H303">
        <v>27</v>
      </c>
      <c r="I303">
        <v>300</v>
      </c>
      <c r="J303">
        <v>800</v>
      </c>
      <c r="K303">
        <f t="shared" si="40"/>
        <v>33600</v>
      </c>
      <c r="L303">
        <f t="shared" si="41"/>
        <v>12600</v>
      </c>
      <c r="M303">
        <f t="shared" si="42"/>
        <v>21000</v>
      </c>
      <c r="N303" s="4">
        <f t="shared" si="43"/>
        <v>0.625</v>
      </c>
      <c r="O303" t="str">
        <f t="shared" si="44"/>
        <v>Normal</v>
      </c>
      <c r="P303" t="str">
        <f t="shared" si="45"/>
        <v/>
      </c>
      <c r="Q303" t="str">
        <f t="shared" si="46"/>
        <v/>
      </c>
      <c r="S303">
        <f t="shared" si="47"/>
        <v>48</v>
      </c>
      <c r="T303" t="str">
        <f t="shared" si="48"/>
        <v>0-30 Days</v>
      </c>
      <c r="U303">
        <f t="shared" si="49"/>
        <v>8100</v>
      </c>
      <c r="V303">
        <f>tbl_inventory[[#This Row],[Units_Sold]]*tbl_inventory[[#This Row],[Revenue]]</f>
        <v>1411200</v>
      </c>
    </row>
    <row r="304" spans="1:22" x14ac:dyDescent="0.25">
      <c r="A304" s="2" t="s">
        <v>22</v>
      </c>
      <c r="B304" t="s">
        <v>43</v>
      </c>
      <c r="C304" t="s">
        <v>47</v>
      </c>
      <c r="D304" t="s">
        <v>66</v>
      </c>
      <c r="E304" s="2">
        <v>45717</v>
      </c>
      <c r="F304" s="3">
        <v>208</v>
      </c>
      <c r="G304">
        <v>157</v>
      </c>
      <c r="H304">
        <v>51</v>
      </c>
      <c r="I304">
        <v>300</v>
      </c>
      <c r="J304">
        <v>800</v>
      </c>
      <c r="K304">
        <f t="shared" si="40"/>
        <v>125600</v>
      </c>
      <c r="L304">
        <f t="shared" si="41"/>
        <v>47100</v>
      </c>
      <c r="M304">
        <f t="shared" si="42"/>
        <v>78500</v>
      </c>
      <c r="N304" s="4">
        <f t="shared" si="43"/>
        <v>0.625</v>
      </c>
      <c r="O304" t="str">
        <f t="shared" si="44"/>
        <v>Normal</v>
      </c>
      <c r="P304" t="str">
        <f t="shared" si="45"/>
        <v/>
      </c>
      <c r="Q304" t="str">
        <f t="shared" si="46"/>
        <v/>
      </c>
      <c r="S304">
        <f t="shared" si="47"/>
        <v>129.5</v>
      </c>
      <c r="T304" t="str">
        <f t="shared" si="48"/>
        <v>30-60 Days</v>
      </c>
      <c r="U304">
        <f t="shared" si="49"/>
        <v>15300</v>
      </c>
      <c r="V304">
        <f>tbl_inventory[[#This Row],[Units_Sold]]*tbl_inventory[[#This Row],[Revenue]]</f>
        <v>19719200</v>
      </c>
    </row>
    <row r="305" spans="1:22" x14ac:dyDescent="0.25">
      <c r="A305" s="2" t="s">
        <v>22</v>
      </c>
      <c r="B305" t="s">
        <v>43</v>
      </c>
      <c r="C305" t="s">
        <v>47</v>
      </c>
      <c r="D305" t="s">
        <v>66</v>
      </c>
      <c r="E305" s="2">
        <v>45748</v>
      </c>
      <c r="F305" s="3">
        <v>101</v>
      </c>
      <c r="G305">
        <v>0</v>
      </c>
      <c r="H305">
        <v>101</v>
      </c>
      <c r="I305">
        <v>300</v>
      </c>
      <c r="J305">
        <v>800</v>
      </c>
      <c r="K305">
        <f t="shared" si="40"/>
        <v>0</v>
      </c>
      <c r="L305">
        <f t="shared" si="41"/>
        <v>0</v>
      </c>
      <c r="M305">
        <f t="shared" si="42"/>
        <v>0</v>
      </c>
      <c r="N305" s="4">
        <f t="shared" si="43"/>
        <v>0</v>
      </c>
      <c r="O305" t="str">
        <f t="shared" si="44"/>
        <v>Slow Moving</v>
      </c>
      <c r="P305" t="str">
        <f t="shared" si="45"/>
        <v>Dead Stock</v>
      </c>
      <c r="Q305" t="str">
        <f t="shared" si="46"/>
        <v>Low Margin</v>
      </c>
      <c r="S305">
        <f t="shared" si="47"/>
        <v>101</v>
      </c>
      <c r="T305" t="str">
        <f t="shared" si="48"/>
        <v>60-90 Days</v>
      </c>
      <c r="U305">
        <f t="shared" si="49"/>
        <v>30300</v>
      </c>
      <c r="V305">
        <f>tbl_inventory[[#This Row],[Units_Sold]]*tbl_inventory[[#This Row],[Revenue]]</f>
        <v>0</v>
      </c>
    </row>
    <row r="306" spans="1:22" x14ac:dyDescent="0.25">
      <c r="A306" s="2" t="s">
        <v>22</v>
      </c>
      <c r="B306" t="s">
        <v>43</v>
      </c>
      <c r="C306" t="s">
        <v>47</v>
      </c>
      <c r="D306" t="s">
        <v>66</v>
      </c>
      <c r="E306" s="2">
        <v>45778</v>
      </c>
      <c r="F306" s="3">
        <v>150</v>
      </c>
      <c r="G306">
        <v>32</v>
      </c>
      <c r="H306">
        <v>118</v>
      </c>
      <c r="I306">
        <v>300</v>
      </c>
      <c r="J306">
        <v>800</v>
      </c>
      <c r="K306">
        <f t="shared" si="40"/>
        <v>25600</v>
      </c>
      <c r="L306">
        <f t="shared" si="41"/>
        <v>9600</v>
      </c>
      <c r="M306">
        <f t="shared" si="42"/>
        <v>16000</v>
      </c>
      <c r="N306" s="4">
        <f t="shared" si="43"/>
        <v>0.625</v>
      </c>
      <c r="O306" t="str">
        <f t="shared" si="44"/>
        <v>Normal</v>
      </c>
      <c r="P306" t="str">
        <f t="shared" si="45"/>
        <v/>
      </c>
      <c r="Q306" t="str">
        <f t="shared" si="46"/>
        <v/>
      </c>
      <c r="S306">
        <f t="shared" si="47"/>
        <v>134</v>
      </c>
      <c r="T306" t="str">
        <f t="shared" si="48"/>
        <v>60-90 Days</v>
      </c>
      <c r="U306">
        <f t="shared" si="49"/>
        <v>35400</v>
      </c>
      <c r="V306">
        <f>tbl_inventory[[#This Row],[Units_Sold]]*tbl_inventory[[#This Row],[Revenue]]</f>
        <v>819200</v>
      </c>
    </row>
    <row r="307" spans="1:22" x14ac:dyDescent="0.25">
      <c r="A307" s="2" t="s">
        <v>22</v>
      </c>
      <c r="B307" t="s">
        <v>43</v>
      </c>
      <c r="C307" t="s">
        <v>47</v>
      </c>
      <c r="D307" t="s">
        <v>66</v>
      </c>
      <c r="E307" s="2">
        <v>45809</v>
      </c>
      <c r="F307" s="3">
        <v>267</v>
      </c>
      <c r="G307">
        <v>124</v>
      </c>
      <c r="H307">
        <v>143</v>
      </c>
      <c r="I307">
        <v>300</v>
      </c>
      <c r="J307">
        <v>800</v>
      </c>
      <c r="K307">
        <f t="shared" si="40"/>
        <v>99200</v>
      </c>
      <c r="L307">
        <f t="shared" si="41"/>
        <v>37200</v>
      </c>
      <c r="M307">
        <f t="shared" si="42"/>
        <v>62000</v>
      </c>
      <c r="N307" s="4">
        <f t="shared" si="43"/>
        <v>0.625</v>
      </c>
      <c r="O307" t="str">
        <f t="shared" si="44"/>
        <v>Normal</v>
      </c>
      <c r="P307" t="str">
        <f t="shared" si="45"/>
        <v/>
      </c>
      <c r="Q307" t="str">
        <f t="shared" si="46"/>
        <v/>
      </c>
      <c r="S307">
        <f t="shared" si="47"/>
        <v>205</v>
      </c>
      <c r="T307" t="str">
        <f t="shared" si="48"/>
        <v>60-90 Days</v>
      </c>
      <c r="U307">
        <f t="shared" si="49"/>
        <v>42900</v>
      </c>
      <c r="V307">
        <f>tbl_inventory[[#This Row],[Units_Sold]]*tbl_inventory[[#This Row],[Revenue]]</f>
        <v>12300800</v>
      </c>
    </row>
    <row r="308" spans="1:22" x14ac:dyDescent="0.25">
      <c r="A308" s="2" t="s">
        <v>22</v>
      </c>
      <c r="B308" t="s">
        <v>43</v>
      </c>
      <c r="C308" t="s">
        <v>47</v>
      </c>
      <c r="D308" t="s">
        <v>67</v>
      </c>
      <c r="E308" s="2">
        <v>45658</v>
      </c>
      <c r="F308" s="3">
        <v>117</v>
      </c>
      <c r="G308">
        <v>92</v>
      </c>
      <c r="H308">
        <v>25</v>
      </c>
      <c r="I308">
        <v>300</v>
      </c>
      <c r="J308">
        <v>800</v>
      </c>
      <c r="K308">
        <f t="shared" si="40"/>
        <v>73600</v>
      </c>
      <c r="L308">
        <f t="shared" si="41"/>
        <v>27600</v>
      </c>
      <c r="M308">
        <f t="shared" si="42"/>
        <v>46000</v>
      </c>
      <c r="N308" s="4">
        <f t="shared" si="43"/>
        <v>0.625</v>
      </c>
      <c r="O308" t="str">
        <f t="shared" si="44"/>
        <v>Normal</v>
      </c>
      <c r="P308" t="str">
        <f t="shared" si="45"/>
        <v/>
      </c>
      <c r="Q308" t="str">
        <f t="shared" si="46"/>
        <v/>
      </c>
      <c r="S308">
        <f t="shared" si="47"/>
        <v>71</v>
      </c>
      <c r="T308" t="str">
        <f t="shared" si="48"/>
        <v>0-30 Days</v>
      </c>
      <c r="U308">
        <f t="shared" si="49"/>
        <v>7500</v>
      </c>
      <c r="V308">
        <f>tbl_inventory[[#This Row],[Units_Sold]]*tbl_inventory[[#This Row],[Revenue]]</f>
        <v>6771200</v>
      </c>
    </row>
    <row r="309" spans="1:22" x14ac:dyDescent="0.25">
      <c r="A309" s="2" t="s">
        <v>22</v>
      </c>
      <c r="B309" t="s">
        <v>43</v>
      </c>
      <c r="C309" t="s">
        <v>47</v>
      </c>
      <c r="D309" t="s">
        <v>67</v>
      </c>
      <c r="E309" s="2">
        <v>45689</v>
      </c>
      <c r="F309" s="3">
        <v>227</v>
      </c>
      <c r="G309">
        <v>4</v>
      </c>
      <c r="H309">
        <v>223</v>
      </c>
      <c r="I309">
        <v>300</v>
      </c>
      <c r="J309">
        <v>800</v>
      </c>
      <c r="K309">
        <f t="shared" si="40"/>
        <v>3200</v>
      </c>
      <c r="L309">
        <f t="shared" si="41"/>
        <v>1200</v>
      </c>
      <c r="M309">
        <f t="shared" si="42"/>
        <v>2000</v>
      </c>
      <c r="N309" s="4">
        <f t="shared" si="43"/>
        <v>0.625</v>
      </c>
      <c r="O309" t="str">
        <f t="shared" si="44"/>
        <v>Slow Moving</v>
      </c>
      <c r="P309" t="str">
        <f t="shared" si="45"/>
        <v/>
      </c>
      <c r="Q309" t="str">
        <f t="shared" si="46"/>
        <v/>
      </c>
      <c r="S309">
        <f t="shared" si="47"/>
        <v>225</v>
      </c>
      <c r="T309" t="str">
        <f t="shared" si="48"/>
        <v>90+ Days</v>
      </c>
      <c r="U309">
        <f t="shared" si="49"/>
        <v>66900</v>
      </c>
      <c r="V309">
        <f>tbl_inventory[[#This Row],[Units_Sold]]*tbl_inventory[[#This Row],[Revenue]]</f>
        <v>12800</v>
      </c>
    </row>
    <row r="310" spans="1:22" x14ac:dyDescent="0.25">
      <c r="A310" s="2" t="s">
        <v>22</v>
      </c>
      <c r="B310" t="s">
        <v>43</v>
      </c>
      <c r="C310" t="s">
        <v>47</v>
      </c>
      <c r="D310" t="s">
        <v>67</v>
      </c>
      <c r="E310" s="2">
        <v>45717</v>
      </c>
      <c r="F310" s="3">
        <v>180</v>
      </c>
      <c r="G310">
        <v>125</v>
      </c>
      <c r="H310">
        <v>55</v>
      </c>
      <c r="I310">
        <v>300</v>
      </c>
      <c r="J310">
        <v>800</v>
      </c>
      <c r="K310">
        <f t="shared" si="40"/>
        <v>100000</v>
      </c>
      <c r="L310">
        <f t="shared" si="41"/>
        <v>37500</v>
      </c>
      <c r="M310">
        <f t="shared" si="42"/>
        <v>62500</v>
      </c>
      <c r="N310" s="4">
        <f t="shared" si="43"/>
        <v>0.625</v>
      </c>
      <c r="O310" t="str">
        <f t="shared" si="44"/>
        <v>Normal</v>
      </c>
      <c r="P310" t="str">
        <f t="shared" si="45"/>
        <v/>
      </c>
      <c r="Q310" t="str">
        <f t="shared" si="46"/>
        <v/>
      </c>
      <c r="S310">
        <f t="shared" si="47"/>
        <v>117.5</v>
      </c>
      <c r="T310" t="str">
        <f t="shared" si="48"/>
        <v>30-60 Days</v>
      </c>
      <c r="U310">
        <f t="shared" si="49"/>
        <v>16500</v>
      </c>
      <c r="V310">
        <f>tbl_inventory[[#This Row],[Units_Sold]]*tbl_inventory[[#This Row],[Revenue]]</f>
        <v>12500000</v>
      </c>
    </row>
    <row r="311" spans="1:22" x14ac:dyDescent="0.25">
      <c r="A311" s="2" t="s">
        <v>22</v>
      </c>
      <c r="B311" t="s">
        <v>43</v>
      </c>
      <c r="C311" t="s">
        <v>47</v>
      </c>
      <c r="D311" t="s">
        <v>67</v>
      </c>
      <c r="E311" s="2">
        <v>45748</v>
      </c>
      <c r="F311" s="3">
        <v>294</v>
      </c>
      <c r="G311">
        <v>268</v>
      </c>
      <c r="H311">
        <v>26</v>
      </c>
      <c r="I311">
        <v>300</v>
      </c>
      <c r="J311">
        <v>800</v>
      </c>
      <c r="K311">
        <f t="shared" si="40"/>
        <v>214400</v>
      </c>
      <c r="L311">
        <f t="shared" si="41"/>
        <v>80400</v>
      </c>
      <c r="M311">
        <f t="shared" si="42"/>
        <v>134000</v>
      </c>
      <c r="N311" s="4">
        <f t="shared" si="43"/>
        <v>0.625</v>
      </c>
      <c r="O311" t="str">
        <f t="shared" si="44"/>
        <v>Normal</v>
      </c>
      <c r="P311" t="str">
        <f t="shared" si="45"/>
        <v/>
      </c>
      <c r="Q311" t="str">
        <f t="shared" si="46"/>
        <v/>
      </c>
      <c r="S311">
        <f t="shared" si="47"/>
        <v>160</v>
      </c>
      <c r="T311" t="str">
        <f t="shared" si="48"/>
        <v>0-30 Days</v>
      </c>
      <c r="U311">
        <f t="shared" si="49"/>
        <v>7800</v>
      </c>
      <c r="V311">
        <f>tbl_inventory[[#This Row],[Units_Sold]]*tbl_inventory[[#This Row],[Revenue]]</f>
        <v>57459200</v>
      </c>
    </row>
    <row r="312" spans="1:22" x14ac:dyDescent="0.25">
      <c r="A312" s="2" t="s">
        <v>22</v>
      </c>
      <c r="B312" t="s">
        <v>43</v>
      </c>
      <c r="C312" t="s">
        <v>47</v>
      </c>
      <c r="D312" t="s">
        <v>67</v>
      </c>
      <c r="E312" s="2">
        <v>45778</v>
      </c>
      <c r="F312" s="3">
        <v>237</v>
      </c>
      <c r="G312">
        <v>173</v>
      </c>
      <c r="H312">
        <v>64</v>
      </c>
      <c r="I312">
        <v>300</v>
      </c>
      <c r="J312">
        <v>800</v>
      </c>
      <c r="K312">
        <f t="shared" si="40"/>
        <v>138400</v>
      </c>
      <c r="L312">
        <f t="shared" si="41"/>
        <v>51900</v>
      </c>
      <c r="M312">
        <f t="shared" si="42"/>
        <v>86500</v>
      </c>
      <c r="N312" s="4">
        <f t="shared" si="43"/>
        <v>0.625</v>
      </c>
      <c r="O312" t="str">
        <f t="shared" si="44"/>
        <v>Normal</v>
      </c>
      <c r="P312" t="str">
        <f t="shared" si="45"/>
        <v/>
      </c>
      <c r="Q312" t="str">
        <f t="shared" si="46"/>
        <v/>
      </c>
      <c r="S312">
        <f t="shared" si="47"/>
        <v>150.5</v>
      </c>
      <c r="T312" t="str">
        <f t="shared" si="48"/>
        <v>30-60 Days</v>
      </c>
      <c r="U312">
        <f t="shared" si="49"/>
        <v>19200</v>
      </c>
      <c r="V312">
        <f>tbl_inventory[[#This Row],[Units_Sold]]*tbl_inventory[[#This Row],[Revenue]]</f>
        <v>23943200</v>
      </c>
    </row>
    <row r="313" spans="1:22" x14ac:dyDescent="0.25">
      <c r="A313" s="2" t="s">
        <v>22</v>
      </c>
      <c r="B313" t="s">
        <v>43</v>
      </c>
      <c r="C313" t="s">
        <v>47</v>
      </c>
      <c r="D313" t="s">
        <v>67</v>
      </c>
      <c r="E313" s="2">
        <v>45809</v>
      </c>
      <c r="F313" s="3">
        <v>50</v>
      </c>
      <c r="G313">
        <v>28</v>
      </c>
      <c r="H313">
        <v>22</v>
      </c>
      <c r="I313">
        <v>300</v>
      </c>
      <c r="J313">
        <v>800</v>
      </c>
      <c r="K313">
        <f t="shared" si="40"/>
        <v>22400</v>
      </c>
      <c r="L313">
        <f t="shared" si="41"/>
        <v>8400</v>
      </c>
      <c r="M313">
        <f t="shared" si="42"/>
        <v>14000</v>
      </c>
      <c r="N313" s="4">
        <f t="shared" si="43"/>
        <v>0.625</v>
      </c>
      <c r="O313" t="str">
        <f t="shared" si="44"/>
        <v>Normal</v>
      </c>
      <c r="P313" t="str">
        <f t="shared" si="45"/>
        <v/>
      </c>
      <c r="Q313" t="str">
        <f t="shared" si="46"/>
        <v/>
      </c>
      <c r="S313">
        <f t="shared" si="47"/>
        <v>36</v>
      </c>
      <c r="T313" t="str">
        <f t="shared" si="48"/>
        <v>0-30 Days</v>
      </c>
      <c r="U313">
        <f t="shared" si="49"/>
        <v>6600</v>
      </c>
      <c r="V313">
        <f>tbl_inventory[[#This Row],[Units_Sold]]*tbl_inventory[[#This Row],[Revenue]]</f>
        <v>627200</v>
      </c>
    </row>
    <row r="314" spans="1:22" x14ac:dyDescent="0.25">
      <c r="A314" s="2" t="s">
        <v>23</v>
      </c>
      <c r="B314" t="s">
        <v>56</v>
      </c>
      <c r="C314" t="s">
        <v>47</v>
      </c>
      <c r="D314" t="s">
        <v>64</v>
      </c>
      <c r="E314" s="2">
        <v>45658</v>
      </c>
      <c r="F314" s="3">
        <v>228</v>
      </c>
      <c r="G314">
        <v>128</v>
      </c>
      <c r="H314">
        <v>100</v>
      </c>
      <c r="I314">
        <v>800</v>
      </c>
      <c r="J314">
        <v>1500</v>
      </c>
      <c r="K314">
        <f t="shared" si="40"/>
        <v>192000</v>
      </c>
      <c r="L314">
        <f t="shared" si="41"/>
        <v>102400</v>
      </c>
      <c r="M314">
        <f t="shared" si="42"/>
        <v>89600</v>
      </c>
      <c r="N314" s="4">
        <f t="shared" si="43"/>
        <v>0.46666666666666667</v>
      </c>
      <c r="O314" t="str">
        <f t="shared" si="44"/>
        <v>Normal</v>
      </c>
      <c r="P314" t="str">
        <f t="shared" si="45"/>
        <v/>
      </c>
      <c r="Q314" t="str">
        <f t="shared" si="46"/>
        <v/>
      </c>
      <c r="S314">
        <f t="shared" si="47"/>
        <v>164</v>
      </c>
      <c r="T314" t="str">
        <f t="shared" si="48"/>
        <v>30-60 Days</v>
      </c>
      <c r="U314">
        <f t="shared" si="49"/>
        <v>80000</v>
      </c>
      <c r="V314">
        <f>tbl_inventory[[#This Row],[Units_Sold]]*tbl_inventory[[#This Row],[Revenue]]</f>
        <v>24576000</v>
      </c>
    </row>
    <row r="315" spans="1:22" x14ac:dyDescent="0.25">
      <c r="A315" s="2" t="s">
        <v>23</v>
      </c>
      <c r="B315" t="s">
        <v>56</v>
      </c>
      <c r="C315" t="s">
        <v>47</v>
      </c>
      <c r="D315" t="s">
        <v>64</v>
      </c>
      <c r="E315" s="2">
        <v>45689</v>
      </c>
      <c r="F315" s="3">
        <v>156</v>
      </c>
      <c r="G315">
        <v>70</v>
      </c>
      <c r="H315">
        <v>86</v>
      </c>
      <c r="I315">
        <v>800</v>
      </c>
      <c r="J315">
        <v>1500</v>
      </c>
      <c r="K315">
        <f t="shared" si="40"/>
        <v>105000</v>
      </c>
      <c r="L315">
        <f t="shared" si="41"/>
        <v>56000</v>
      </c>
      <c r="M315">
        <f t="shared" si="42"/>
        <v>49000</v>
      </c>
      <c r="N315" s="4">
        <f t="shared" si="43"/>
        <v>0.46666666666666667</v>
      </c>
      <c r="O315" t="str">
        <f t="shared" si="44"/>
        <v>Normal</v>
      </c>
      <c r="P315" t="str">
        <f t="shared" si="45"/>
        <v/>
      </c>
      <c r="Q315" t="str">
        <f t="shared" si="46"/>
        <v/>
      </c>
      <c r="S315">
        <f t="shared" si="47"/>
        <v>121</v>
      </c>
      <c r="T315" t="str">
        <f t="shared" si="48"/>
        <v>30-60 Days</v>
      </c>
      <c r="U315">
        <f t="shared" si="49"/>
        <v>68800</v>
      </c>
      <c r="V315">
        <f>tbl_inventory[[#This Row],[Units_Sold]]*tbl_inventory[[#This Row],[Revenue]]</f>
        <v>7350000</v>
      </c>
    </row>
    <row r="316" spans="1:22" x14ac:dyDescent="0.25">
      <c r="A316" s="2" t="s">
        <v>23</v>
      </c>
      <c r="B316" t="s">
        <v>56</v>
      </c>
      <c r="C316" t="s">
        <v>47</v>
      </c>
      <c r="D316" t="s">
        <v>64</v>
      </c>
      <c r="E316" s="2">
        <v>45717</v>
      </c>
      <c r="F316" s="3">
        <v>130</v>
      </c>
      <c r="G316">
        <v>111</v>
      </c>
      <c r="H316">
        <v>19</v>
      </c>
      <c r="I316">
        <v>800</v>
      </c>
      <c r="J316">
        <v>1500</v>
      </c>
      <c r="K316">
        <f t="shared" si="40"/>
        <v>166500</v>
      </c>
      <c r="L316">
        <f t="shared" si="41"/>
        <v>88800</v>
      </c>
      <c r="M316">
        <f t="shared" si="42"/>
        <v>77700</v>
      </c>
      <c r="N316" s="4">
        <f t="shared" si="43"/>
        <v>0.46666666666666667</v>
      </c>
      <c r="O316" t="str">
        <f t="shared" si="44"/>
        <v>Normal</v>
      </c>
      <c r="P316" t="str">
        <f t="shared" si="45"/>
        <v/>
      </c>
      <c r="Q316" t="str">
        <f t="shared" si="46"/>
        <v/>
      </c>
      <c r="S316">
        <f t="shared" si="47"/>
        <v>74.5</v>
      </c>
      <c r="T316" t="str">
        <f t="shared" si="48"/>
        <v>0-30 Days</v>
      </c>
      <c r="U316">
        <f t="shared" si="49"/>
        <v>15200</v>
      </c>
      <c r="V316">
        <f>tbl_inventory[[#This Row],[Units_Sold]]*tbl_inventory[[#This Row],[Revenue]]</f>
        <v>18481500</v>
      </c>
    </row>
    <row r="317" spans="1:22" x14ac:dyDescent="0.25">
      <c r="A317" s="2" t="s">
        <v>23</v>
      </c>
      <c r="B317" t="s">
        <v>56</v>
      </c>
      <c r="C317" t="s">
        <v>47</v>
      </c>
      <c r="D317" t="s">
        <v>64</v>
      </c>
      <c r="E317" s="2">
        <v>45748</v>
      </c>
      <c r="F317" s="3">
        <v>89</v>
      </c>
      <c r="G317">
        <v>11</v>
      </c>
      <c r="H317">
        <v>78</v>
      </c>
      <c r="I317">
        <v>800</v>
      </c>
      <c r="J317">
        <v>1500</v>
      </c>
      <c r="K317">
        <f t="shared" si="40"/>
        <v>16500</v>
      </c>
      <c r="L317">
        <f t="shared" si="41"/>
        <v>8800</v>
      </c>
      <c r="M317">
        <f t="shared" si="42"/>
        <v>7700</v>
      </c>
      <c r="N317" s="4">
        <f t="shared" si="43"/>
        <v>0.46666666666666667</v>
      </c>
      <c r="O317" t="str">
        <f t="shared" si="44"/>
        <v>Slow Moving</v>
      </c>
      <c r="P317" t="str">
        <f t="shared" si="45"/>
        <v/>
      </c>
      <c r="Q317" t="str">
        <f t="shared" si="46"/>
        <v/>
      </c>
      <c r="S317">
        <f t="shared" si="47"/>
        <v>83.5</v>
      </c>
      <c r="T317" t="str">
        <f t="shared" si="48"/>
        <v>30-60 Days</v>
      </c>
      <c r="U317">
        <f t="shared" si="49"/>
        <v>62400</v>
      </c>
      <c r="V317">
        <f>tbl_inventory[[#This Row],[Units_Sold]]*tbl_inventory[[#This Row],[Revenue]]</f>
        <v>181500</v>
      </c>
    </row>
    <row r="318" spans="1:22" x14ac:dyDescent="0.25">
      <c r="A318" s="2" t="s">
        <v>23</v>
      </c>
      <c r="B318" t="s">
        <v>56</v>
      </c>
      <c r="C318" t="s">
        <v>47</v>
      </c>
      <c r="D318" t="s">
        <v>64</v>
      </c>
      <c r="E318" s="2">
        <v>45778</v>
      </c>
      <c r="F318" s="3">
        <v>193</v>
      </c>
      <c r="G318">
        <v>110</v>
      </c>
      <c r="H318">
        <v>83</v>
      </c>
      <c r="I318">
        <v>800</v>
      </c>
      <c r="J318">
        <v>1500</v>
      </c>
      <c r="K318">
        <f t="shared" si="40"/>
        <v>165000</v>
      </c>
      <c r="L318">
        <f t="shared" si="41"/>
        <v>88000</v>
      </c>
      <c r="M318">
        <f t="shared" si="42"/>
        <v>77000</v>
      </c>
      <c r="N318" s="4">
        <f t="shared" si="43"/>
        <v>0.46666666666666667</v>
      </c>
      <c r="O318" t="str">
        <f t="shared" si="44"/>
        <v>Normal</v>
      </c>
      <c r="P318" t="str">
        <f t="shared" si="45"/>
        <v/>
      </c>
      <c r="Q318" t="str">
        <f t="shared" si="46"/>
        <v/>
      </c>
      <c r="S318">
        <f t="shared" si="47"/>
        <v>138</v>
      </c>
      <c r="T318" t="str">
        <f t="shared" si="48"/>
        <v>30-60 Days</v>
      </c>
      <c r="U318">
        <f t="shared" si="49"/>
        <v>66400</v>
      </c>
      <c r="V318">
        <f>tbl_inventory[[#This Row],[Units_Sold]]*tbl_inventory[[#This Row],[Revenue]]</f>
        <v>18150000</v>
      </c>
    </row>
    <row r="319" spans="1:22" x14ac:dyDescent="0.25">
      <c r="A319" s="2" t="s">
        <v>23</v>
      </c>
      <c r="B319" t="s">
        <v>56</v>
      </c>
      <c r="C319" t="s">
        <v>47</v>
      </c>
      <c r="D319" t="s">
        <v>64</v>
      </c>
      <c r="E319" s="2">
        <v>45809</v>
      </c>
      <c r="F319" s="3">
        <v>101</v>
      </c>
      <c r="G319">
        <v>7</v>
      </c>
      <c r="H319">
        <v>94</v>
      </c>
      <c r="I319">
        <v>800</v>
      </c>
      <c r="J319">
        <v>1500</v>
      </c>
      <c r="K319">
        <f t="shared" si="40"/>
        <v>10500</v>
      </c>
      <c r="L319">
        <f t="shared" si="41"/>
        <v>5600</v>
      </c>
      <c r="M319">
        <f t="shared" si="42"/>
        <v>4900</v>
      </c>
      <c r="N319" s="4">
        <f t="shared" si="43"/>
        <v>0.46666666666666667</v>
      </c>
      <c r="O319" t="str">
        <f t="shared" si="44"/>
        <v>Slow Moving</v>
      </c>
      <c r="P319" t="str">
        <f t="shared" si="45"/>
        <v/>
      </c>
      <c r="Q319" t="str">
        <f t="shared" si="46"/>
        <v/>
      </c>
      <c r="S319">
        <f t="shared" si="47"/>
        <v>97.5</v>
      </c>
      <c r="T319" t="str">
        <f t="shared" si="48"/>
        <v>30-60 Days</v>
      </c>
      <c r="U319">
        <f t="shared" si="49"/>
        <v>75200</v>
      </c>
      <c r="V319">
        <f>tbl_inventory[[#This Row],[Units_Sold]]*tbl_inventory[[#This Row],[Revenue]]</f>
        <v>73500</v>
      </c>
    </row>
    <row r="320" spans="1:22" x14ac:dyDescent="0.25">
      <c r="A320" s="2" t="s">
        <v>23</v>
      </c>
      <c r="B320" t="s">
        <v>56</v>
      </c>
      <c r="C320" t="s">
        <v>47</v>
      </c>
      <c r="D320" t="s">
        <v>65</v>
      </c>
      <c r="E320" s="2">
        <v>45658</v>
      </c>
      <c r="F320" s="3">
        <v>78</v>
      </c>
      <c r="G320">
        <v>76</v>
      </c>
      <c r="H320">
        <v>2</v>
      </c>
      <c r="I320">
        <v>800</v>
      </c>
      <c r="J320">
        <v>1500</v>
      </c>
      <c r="K320">
        <f t="shared" si="40"/>
        <v>114000</v>
      </c>
      <c r="L320">
        <f t="shared" si="41"/>
        <v>60800</v>
      </c>
      <c r="M320">
        <f t="shared" si="42"/>
        <v>53200</v>
      </c>
      <c r="N320" s="4">
        <f t="shared" si="43"/>
        <v>0.46666666666666667</v>
      </c>
      <c r="O320" t="str">
        <f t="shared" si="44"/>
        <v>Normal</v>
      </c>
      <c r="P320" t="str">
        <f t="shared" si="45"/>
        <v/>
      </c>
      <c r="Q320" t="str">
        <f t="shared" si="46"/>
        <v/>
      </c>
      <c r="S320">
        <f t="shared" si="47"/>
        <v>40</v>
      </c>
      <c r="T320" t="str">
        <f t="shared" si="48"/>
        <v>0-30 Days</v>
      </c>
      <c r="U320">
        <f t="shared" si="49"/>
        <v>1600</v>
      </c>
      <c r="V320">
        <f>tbl_inventory[[#This Row],[Units_Sold]]*tbl_inventory[[#This Row],[Revenue]]</f>
        <v>8664000</v>
      </c>
    </row>
    <row r="321" spans="1:22" x14ac:dyDescent="0.25">
      <c r="A321" s="2" t="s">
        <v>23</v>
      </c>
      <c r="B321" t="s">
        <v>56</v>
      </c>
      <c r="C321" t="s">
        <v>47</v>
      </c>
      <c r="D321" t="s">
        <v>65</v>
      </c>
      <c r="E321" s="2">
        <v>45689</v>
      </c>
      <c r="F321" s="3">
        <v>293</v>
      </c>
      <c r="G321">
        <v>237</v>
      </c>
      <c r="H321">
        <v>56</v>
      </c>
      <c r="I321">
        <v>800</v>
      </c>
      <c r="J321">
        <v>1500</v>
      </c>
      <c r="K321">
        <f t="shared" si="40"/>
        <v>355500</v>
      </c>
      <c r="L321">
        <f t="shared" si="41"/>
        <v>189600</v>
      </c>
      <c r="M321">
        <f t="shared" si="42"/>
        <v>165900</v>
      </c>
      <c r="N321" s="4">
        <f t="shared" si="43"/>
        <v>0.46666666666666667</v>
      </c>
      <c r="O321" t="str">
        <f t="shared" si="44"/>
        <v>Normal</v>
      </c>
      <c r="P321" t="str">
        <f t="shared" si="45"/>
        <v/>
      </c>
      <c r="Q321" t="str">
        <f t="shared" si="46"/>
        <v/>
      </c>
      <c r="S321">
        <f t="shared" si="47"/>
        <v>174.5</v>
      </c>
      <c r="T321" t="str">
        <f t="shared" si="48"/>
        <v>30-60 Days</v>
      </c>
      <c r="U321">
        <f t="shared" si="49"/>
        <v>44800</v>
      </c>
      <c r="V321">
        <f>tbl_inventory[[#This Row],[Units_Sold]]*tbl_inventory[[#This Row],[Revenue]]</f>
        <v>84253500</v>
      </c>
    </row>
    <row r="322" spans="1:22" x14ac:dyDescent="0.25">
      <c r="A322" s="2" t="s">
        <v>23</v>
      </c>
      <c r="B322" t="s">
        <v>56</v>
      </c>
      <c r="C322" t="s">
        <v>47</v>
      </c>
      <c r="D322" t="s">
        <v>65</v>
      </c>
      <c r="E322" s="2">
        <v>45717</v>
      </c>
      <c r="F322" s="3">
        <v>96</v>
      </c>
      <c r="G322">
        <v>57</v>
      </c>
      <c r="H322">
        <v>39</v>
      </c>
      <c r="I322">
        <v>800</v>
      </c>
      <c r="J322">
        <v>1500</v>
      </c>
      <c r="K322">
        <f t="shared" si="40"/>
        <v>85500</v>
      </c>
      <c r="L322">
        <f t="shared" si="41"/>
        <v>45600</v>
      </c>
      <c r="M322">
        <f t="shared" si="42"/>
        <v>39900</v>
      </c>
      <c r="N322" s="4">
        <f t="shared" si="43"/>
        <v>0.46666666666666667</v>
      </c>
      <c r="O322" t="str">
        <f t="shared" si="44"/>
        <v>Normal</v>
      </c>
      <c r="P322" t="str">
        <f t="shared" si="45"/>
        <v/>
      </c>
      <c r="Q322" t="str">
        <f t="shared" si="46"/>
        <v/>
      </c>
      <c r="S322">
        <f t="shared" si="47"/>
        <v>67.5</v>
      </c>
      <c r="T322" t="str">
        <f t="shared" si="48"/>
        <v>0-30 Days</v>
      </c>
      <c r="U322">
        <f t="shared" si="49"/>
        <v>31200</v>
      </c>
      <c r="V322">
        <f>tbl_inventory[[#This Row],[Units_Sold]]*tbl_inventory[[#This Row],[Revenue]]</f>
        <v>4873500</v>
      </c>
    </row>
    <row r="323" spans="1:22" x14ac:dyDescent="0.25">
      <c r="A323" s="2" t="s">
        <v>23</v>
      </c>
      <c r="B323" t="s">
        <v>56</v>
      </c>
      <c r="C323" t="s">
        <v>47</v>
      </c>
      <c r="D323" t="s">
        <v>65</v>
      </c>
      <c r="E323" s="2">
        <v>45748</v>
      </c>
      <c r="F323" s="3">
        <v>216</v>
      </c>
      <c r="G323">
        <v>39</v>
      </c>
      <c r="H323">
        <v>177</v>
      </c>
      <c r="I323">
        <v>800</v>
      </c>
      <c r="J323">
        <v>1500</v>
      </c>
      <c r="K323">
        <f t="shared" ref="K323:K386" si="50">G323*J323</f>
        <v>58500</v>
      </c>
      <c r="L323">
        <f t="shared" ref="L323:L386" si="51">G323*I323</f>
        <v>31200</v>
      </c>
      <c r="M323">
        <f t="shared" ref="M323:M386" si="52">K323-L323</f>
        <v>27300</v>
      </c>
      <c r="N323" s="4">
        <f t="shared" ref="N323:N386" si="53">IF(K323=0,0,M323/K323)</f>
        <v>0.46666666666666667</v>
      </c>
      <c r="O323" t="str">
        <f t="shared" ref="O323:O386" si="54">IF(G323&lt;20,"Slow Moving","Normal")</f>
        <v>Normal</v>
      </c>
      <c r="P323" t="str">
        <f t="shared" ref="P323:P386" si="55">IF(G323=0,"Dead Stock","")</f>
        <v/>
      </c>
      <c r="Q323" t="str">
        <f t="shared" ref="Q323:Q386" si="56">IF(N323&lt;0.1,"Low Margin","")</f>
        <v/>
      </c>
      <c r="S323">
        <f t="shared" ref="S323:S386" si="57">(F323+H323)/2</f>
        <v>196.5</v>
      </c>
      <c r="T323" t="str">
        <f t="shared" ref="T323:T386" si="58">IF(H323&gt;200,"90+ Days",
IF(H323&gt;100,"60-90 Days",
IF(H323&gt;50,"30-60 Days","0-30 Days")))</f>
        <v>60-90 Days</v>
      </c>
      <c r="U323">
        <f t="shared" ref="U323:U386" si="59">H323 * I323</f>
        <v>141600</v>
      </c>
      <c r="V323">
        <f>tbl_inventory[[#This Row],[Units_Sold]]*tbl_inventory[[#This Row],[Revenue]]</f>
        <v>2281500</v>
      </c>
    </row>
    <row r="324" spans="1:22" x14ac:dyDescent="0.25">
      <c r="A324" s="2" t="s">
        <v>23</v>
      </c>
      <c r="B324" t="s">
        <v>56</v>
      </c>
      <c r="C324" t="s">
        <v>47</v>
      </c>
      <c r="D324" t="s">
        <v>65</v>
      </c>
      <c r="E324" s="2">
        <v>45778</v>
      </c>
      <c r="F324" s="3">
        <v>173</v>
      </c>
      <c r="G324">
        <v>146</v>
      </c>
      <c r="H324">
        <v>27</v>
      </c>
      <c r="I324">
        <v>800</v>
      </c>
      <c r="J324">
        <v>1500</v>
      </c>
      <c r="K324">
        <f t="shared" si="50"/>
        <v>219000</v>
      </c>
      <c r="L324">
        <f t="shared" si="51"/>
        <v>116800</v>
      </c>
      <c r="M324">
        <f t="shared" si="52"/>
        <v>102200</v>
      </c>
      <c r="N324" s="4">
        <f t="shared" si="53"/>
        <v>0.46666666666666667</v>
      </c>
      <c r="O324" t="str">
        <f t="shared" si="54"/>
        <v>Normal</v>
      </c>
      <c r="P324" t="str">
        <f t="shared" si="55"/>
        <v/>
      </c>
      <c r="Q324" t="str">
        <f t="shared" si="56"/>
        <v/>
      </c>
      <c r="S324">
        <f t="shared" si="57"/>
        <v>100</v>
      </c>
      <c r="T324" t="str">
        <f t="shared" si="58"/>
        <v>0-30 Days</v>
      </c>
      <c r="U324">
        <f t="shared" si="59"/>
        <v>21600</v>
      </c>
      <c r="V324">
        <f>tbl_inventory[[#This Row],[Units_Sold]]*tbl_inventory[[#This Row],[Revenue]]</f>
        <v>31974000</v>
      </c>
    </row>
    <row r="325" spans="1:22" x14ac:dyDescent="0.25">
      <c r="A325" s="2" t="s">
        <v>23</v>
      </c>
      <c r="B325" t="s">
        <v>56</v>
      </c>
      <c r="C325" t="s">
        <v>47</v>
      </c>
      <c r="D325" t="s">
        <v>65</v>
      </c>
      <c r="E325" s="2">
        <v>45809</v>
      </c>
      <c r="F325" s="3">
        <v>183</v>
      </c>
      <c r="G325">
        <v>131</v>
      </c>
      <c r="H325">
        <v>52</v>
      </c>
      <c r="I325">
        <v>800</v>
      </c>
      <c r="J325">
        <v>1500</v>
      </c>
      <c r="K325">
        <f t="shared" si="50"/>
        <v>196500</v>
      </c>
      <c r="L325">
        <f t="shared" si="51"/>
        <v>104800</v>
      </c>
      <c r="M325">
        <f t="shared" si="52"/>
        <v>91700</v>
      </c>
      <c r="N325" s="4">
        <f t="shared" si="53"/>
        <v>0.46666666666666667</v>
      </c>
      <c r="O325" t="str">
        <f t="shared" si="54"/>
        <v>Normal</v>
      </c>
      <c r="P325" t="str">
        <f t="shared" si="55"/>
        <v/>
      </c>
      <c r="Q325" t="str">
        <f t="shared" si="56"/>
        <v/>
      </c>
      <c r="S325">
        <f t="shared" si="57"/>
        <v>117.5</v>
      </c>
      <c r="T325" t="str">
        <f t="shared" si="58"/>
        <v>30-60 Days</v>
      </c>
      <c r="U325">
        <f t="shared" si="59"/>
        <v>41600</v>
      </c>
      <c r="V325">
        <f>tbl_inventory[[#This Row],[Units_Sold]]*tbl_inventory[[#This Row],[Revenue]]</f>
        <v>25741500</v>
      </c>
    </row>
    <row r="326" spans="1:22" x14ac:dyDescent="0.25">
      <c r="A326" s="2" t="s">
        <v>23</v>
      </c>
      <c r="B326" t="s">
        <v>56</v>
      </c>
      <c r="C326" t="s">
        <v>47</v>
      </c>
      <c r="D326" t="s">
        <v>66</v>
      </c>
      <c r="E326" s="2">
        <v>45658</v>
      </c>
      <c r="F326" s="3">
        <v>173</v>
      </c>
      <c r="G326">
        <v>75</v>
      </c>
      <c r="H326">
        <v>98</v>
      </c>
      <c r="I326">
        <v>800</v>
      </c>
      <c r="J326">
        <v>1500</v>
      </c>
      <c r="K326">
        <f t="shared" si="50"/>
        <v>112500</v>
      </c>
      <c r="L326">
        <f t="shared" si="51"/>
        <v>60000</v>
      </c>
      <c r="M326">
        <f t="shared" si="52"/>
        <v>52500</v>
      </c>
      <c r="N326" s="4">
        <f t="shared" si="53"/>
        <v>0.46666666666666667</v>
      </c>
      <c r="O326" t="str">
        <f t="shared" si="54"/>
        <v>Normal</v>
      </c>
      <c r="P326" t="str">
        <f t="shared" si="55"/>
        <v/>
      </c>
      <c r="Q326" t="str">
        <f t="shared" si="56"/>
        <v/>
      </c>
      <c r="S326">
        <f t="shared" si="57"/>
        <v>135.5</v>
      </c>
      <c r="T326" t="str">
        <f t="shared" si="58"/>
        <v>30-60 Days</v>
      </c>
      <c r="U326">
        <f t="shared" si="59"/>
        <v>78400</v>
      </c>
      <c r="V326">
        <f>tbl_inventory[[#This Row],[Units_Sold]]*tbl_inventory[[#This Row],[Revenue]]</f>
        <v>8437500</v>
      </c>
    </row>
    <row r="327" spans="1:22" x14ac:dyDescent="0.25">
      <c r="A327" s="2" t="s">
        <v>23</v>
      </c>
      <c r="B327" t="s">
        <v>56</v>
      </c>
      <c r="C327" t="s">
        <v>47</v>
      </c>
      <c r="D327" t="s">
        <v>66</v>
      </c>
      <c r="E327" s="2">
        <v>45689</v>
      </c>
      <c r="F327" s="3">
        <v>168</v>
      </c>
      <c r="G327">
        <v>88</v>
      </c>
      <c r="H327">
        <v>80</v>
      </c>
      <c r="I327">
        <v>800</v>
      </c>
      <c r="J327">
        <v>1500</v>
      </c>
      <c r="K327">
        <f t="shared" si="50"/>
        <v>132000</v>
      </c>
      <c r="L327">
        <f t="shared" si="51"/>
        <v>70400</v>
      </c>
      <c r="M327">
        <f t="shared" si="52"/>
        <v>61600</v>
      </c>
      <c r="N327" s="4">
        <f t="shared" si="53"/>
        <v>0.46666666666666667</v>
      </c>
      <c r="O327" t="str">
        <f t="shared" si="54"/>
        <v>Normal</v>
      </c>
      <c r="P327" t="str">
        <f t="shared" si="55"/>
        <v/>
      </c>
      <c r="Q327" t="str">
        <f t="shared" si="56"/>
        <v/>
      </c>
      <c r="S327">
        <f t="shared" si="57"/>
        <v>124</v>
      </c>
      <c r="T327" t="str">
        <f t="shared" si="58"/>
        <v>30-60 Days</v>
      </c>
      <c r="U327">
        <f t="shared" si="59"/>
        <v>64000</v>
      </c>
      <c r="V327">
        <f>tbl_inventory[[#This Row],[Units_Sold]]*tbl_inventory[[#This Row],[Revenue]]</f>
        <v>11616000</v>
      </c>
    </row>
    <row r="328" spans="1:22" x14ac:dyDescent="0.25">
      <c r="A328" s="2" t="s">
        <v>23</v>
      </c>
      <c r="B328" t="s">
        <v>56</v>
      </c>
      <c r="C328" t="s">
        <v>47</v>
      </c>
      <c r="D328" t="s">
        <v>66</v>
      </c>
      <c r="E328" s="2">
        <v>45717</v>
      </c>
      <c r="F328" s="3">
        <v>273</v>
      </c>
      <c r="G328">
        <v>254</v>
      </c>
      <c r="H328">
        <v>19</v>
      </c>
      <c r="I328">
        <v>800</v>
      </c>
      <c r="J328">
        <v>1500</v>
      </c>
      <c r="K328">
        <f t="shared" si="50"/>
        <v>381000</v>
      </c>
      <c r="L328">
        <f t="shared" si="51"/>
        <v>203200</v>
      </c>
      <c r="M328">
        <f t="shared" si="52"/>
        <v>177800</v>
      </c>
      <c r="N328" s="4">
        <f t="shared" si="53"/>
        <v>0.46666666666666667</v>
      </c>
      <c r="O328" t="str">
        <f t="shared" si="54"/>
        <v>Normal</v>
      </c>
      <c r="P328" t="str">
        <f t="shared" si="55"/>
        <v/>
      </c>
      <c r="Q328" t="str">
        <f t="shared" si="56"/>
        <v/>
      </c>
      <c r="S328">
        <f t="shared" si="57"/>
        <v>146</v>
      </c>
      <c r="T328" t="str">
        <f t="shared" si="58"/>
        <v>0-30 Days</v>
      </c>
      <c r="U328">
        <f t="shared" si="59"/>
        <v>15200</v>
      </c>
      <c r="V328">
        <f>tbl_inventory[[#This Row],[Units_Sold]]*tbl_inventory[[#This Row],[Revenue]]</f>
        <v>96774000</v>
      </c>
    </row>
    <row r="329" spans="1:22" x14ac:dyDescent="0.25">
      <c r="A329" s="2" t="s">
        <v>23</v>
      </c>
      <c r="B329" t="s">
        <v>56</v>
      </c>
      <c r="C329" t="s">
        <v>47</v>
      </c>
      <c r="D329" t="s">
        <v>66</v>
      </c>
      <c r="E329" s="2">
        <v>45748</v>
      </c>
      <c r="F329" s="3">
        <v>278</v>
      </c>
      <c r="G329">
        <v>133</v>
      </c>
      <c r="H329">
        <v>145</v>
      </c>
      <c r="I329">
        <v>800</v>
      </c>
      <c r="J329">
        <v>1500</v>
      </c>
      <c r="K329">
        <f t="shared" si="50"/>
        <v>199500</v>
      </c>
      <c r="L329">
        <f t="shared" si="51"/>
        <v>106400</v>
      </c>
      <c r="M329">
        <f t="shared" si="52"/>
        <v>93100</v>
      </c>
      <c r="N329" s="4">
        <f t="shared" si="53"/>
        <v>0.46666666666666667</v>
      </c>
      <c r="O329" t="str">
        <f t="shared" si="54"/>
        <v>Normal</v>
      </c>
      <c r="P329" t="str">
        <f t="shared" si="55"/>
        <v/>
      </c>
      <c r="Q329" t="str">
        <f t="shared" si="56"/>
        <v/>
      </c>
      <c r="S329">
        <f t="shared" si="57"/>
        <v>211.5</v>
      </c>
      <c r="T329" t="str">
        <f t="shared" si="58"/>
        <v>60-90 Days</v>
      </c>
      <c r="U329">
        <f t="shared" si="59"/>
        <v>116000</v>
      </c>
      <c r="V329">
        <f>tbl_inventory[[#This Row],[Units_Sold]]*tbl_inventory[[#This Row],[Revenue]]</f>
        <v>26533500</v>
      </c>
    </row>
    <row r="330" spans="1:22" x14ac:dyDescent="0.25">
      <c r="A330" s="2" t="s">
        <v>23</v>
      </c>
      <c r="B330" t="s">
        <v>56</v>
      </c>
      <c r="C330" t="s">
        <v>47</v>
      </c>
      <c r="D330" t="s">
        <v>66</v>
      </c>
      <c r="E330" s="2">
        <v>45778</v>
      </c>
      <c r="F330" s="3">
        <v>209</v>
      </c>
      <c r="G330">
        <v>108</v>
      </c>
      <c r="H330">
        <v>101</v>
      </c>
      <c r="I330">
        <v>800</v>
      </c>
      <c r="J330">
        <v>1500</v>
      </c>
      <c r="K330">
        <f t="shared" si="50"/>
        <v>162000</v>
      </c>
      <c r="L330">
        <f t="shared" si="51"/>
        <v>86400</v>
      </c>
      <c r="M330">
        <f t="shared" si="52"/>
        <v>75600</v>
      </c>
      <c r="N330" s="4">
        <f t="shared" si="53"/>
        <v>0.46666666666666667</v>
      </c>
      <c r="O330" t="str">
        <f t="shared" si="54"/>
        <v>Normal</v>
      </c>
      <c r="P330" t="str">
        <f t="shared" si="55"/>
        <v/>
      </c>
      <c r="Q330" t="str">
        <f t="shared" si="56"/>
        <v/>
      </c>
      <c r="S330">
        <f t="shared" si="57"/>
        <v>155</v>
      </c>
      <c r="T330" t="str">
        <f t="shared" si="58"/>
        <v>60-90 Days</v>
      </c>
      <c r="U330">
        <f t="shared" si="59"/>
        <v>80800</v>
      </c>
      <c r="V330">
        <f>tbl_inventory[[#This Row],[Units_Sold]]*tbl_inventory[[#This Row],[Revenue]]</f>
        <v>17496000</v>
      </c>
    </row>
    <row r="331" spans="1:22" x14ac:dyDescent="0.25">
      <c r="A331" s="2" t="s">
        <v>23</v>
      </c>
      <c r="B331" t="s">
        <v>56</v>
      </c>
      <c r="C331" t="s">
        <v>47</v>
      </c>
      <c r="D331" t="s">
        <v>66</v>
      </c>
      <c r="E331" s="2">
        <v>45809</v>
      </c>
      <c r="F331" s="3">
        <v>86</v>
      </c>
      <c r="G331">
        <v>6</v>
      </c>
      <c r="H331">
        <v>80</v>
      </c>
      <c r="I331">
        <v>800</v>
      </c>
      <c r="J331">
        <v>1500</v>
      </c>
      <c r="K331">
        <f t="shared" si="50"/>
        <v>9000</v>
      </c>
      <c r="L331">
        <f t="shared" si="51"/>
        <v>4800</v>
      </c>
      <c r="M331">
        <f t="shared" si="52"/>
        <v>4200</v>
      </c>
      <c r="N331" s="4">
        <f t="shared" si="53"/>
        <v>0.46666666666666667</v>
      </c>
      <c r="O331" t="str">
        <f t="shared" si="54"/>
        <v>Slow Moving</v>
      </c>
      <c r="P331" t="str">
        <f t="shared" si="55"/>
        <v/>
      </c>
      <c r="Q331" t="str">
        <f t="shared" si="56"/>
        <v/>
      </c>
      <c r="S331">
        <f t="shared" si="57"/>
        <v>83</v>
      </c>
      <c r="T331" t="str">
        <f t="shared" si="58"/>
        <v>30-60 Days</v>
      </c>
      <c r="U331">
        <f t="shared" si="59"/>
        <v>64000</v>
      </c>
      <c r="V331">
        <f>tbl_inventory[[#This Row],[Units_Sold]]*tbl_inventory[[#This Row],[Revenue]]</f>
        <v>54000</v>
      </c>
    </row>
    <row r="332" spans="1:22" x14ac:dyDescent="0.25">
      <c r="A332" s="2" t="s">
        <v>23</v>
      </c>
      <c r="B332" t="s">
        <v>56</v>
      </c>
      <c r="C332" t="s">
        <v>47</v>
      </c>
      <c r="D332" t="s">
        <v>67</v>
      </c>
      <c r="E332" s="2">
        <v>45658</v>
      </c>
      <c r="F332" s="3">
        <v>66</v>
      </c>
      <c r="G332">
        <v>59</v>
      </c>
      <c r="H332">
        <v>7</v>
      </c>
      <c r="I332">
        <v>800</v>
      </c>
      <c r="J332">
        <v>1500</v>
      </c>
      <c r="K332">
        <f t="shared" si="50"/>
        <v>88500</v>
      </c>
      <c r="L332">
        <f t="shared" si="51"/>
        <v>47200</v>
      </c>
      <c r="M332">
        <f t="shared" si="52"/>
        <v>41300</v>
      </c>
      <c r="N332" s="4">
        <f t="shared" si="53"/>
        <v>0.46666666666666667</v>
      </c>
      <c r="O332" t="str">
        <f t="shared" si="54"/>
        <v>Normal</v>
      </c>
      <c r="P332" t="str">
        <f t="shared" si="55"/>
        <v/>
      </c>
      <c r="Q332" t="str">
        <f t="shared" si="56"/>
        <v/>
      </c>
      <c r="S332">
        <f t="shared" si="57"/>
        <v>36.5</v>
      </c>
      <c r="T332" t="str">
        <f t="shared" si="58"/>
        <v>0-30 Days</v>
      </c>
      <c r="U332">
        <f t="shared" si="59"/>
        <v>5600</v>
      </c>
      <c r="V332">
        <f>tbl_inventory[[#This Row],[Units_Sold]]*tbl_inventory[[#This Row],[Revenue]]</f>
        <v>5221500</v>
      </c>
    </row>
    <row r="333" spans="1:22" x14ac:dyDescent="0.25">
      <c r="A333" s="2" t="s">
        <v>23</v>
      </c>
      <c r="B333" t="s">
        <v>56</v>
      </c>
      <c r="C333" t="s">
        <v>47</v>
      </c>
      <c r="D333" t="s">
        <v>67</v>
      </c>
      <c r="E333" s="2">
        <v>45689</v>
      </c>
      <c r="F333" s="3">
        <v>86</v>
      </c>
      <c r="G333">
        <v>42</v>
      </c>
      <c r="H333">
        <v>44</v>
      </c>
      <c r="I333">
        <v>800</v>
      </c>
      <c r="J333">
        <v>1500</v>
      </c>
      <c r="K333">
        <f t="shared" si="50"/>
        <v>63000</v>
      </c>
      <c r="L333">
        <f t="shared" si="51"/>
        <v>33600</v>
      </c>
      <c r="M333">
        <f t="shared" si="52"/>
        <v>29400</v>
      </c>
      <c r="N333" s="4">
        <f t="shared" si="53"/>
        <v>0.46666666666666667</v>
      </c>
      <c r="O333" t="str">
        <f t="shared" si="54"/>
        <v>Normal</v>
      </c>
      <c r="P333" t="str">
        <f t="shared" si="55"/>
        <v/>
      </c>
      <c r="Q333" t="str">
        <f t="shared" si="56"/>
        <v/>
      </c>
      <c r="S333">
        <f t="shared" si="57"/>
        <v>65</v>
      </c>
      <c r="T333" t="str">
        <f t="shared" si="58"/>
        <v>0-30 Days</v>
      </c>
      <c r="U333">
        <f t="shared" si="59"/>
        <v>35200</v>
      </c>
      <c r="V333">
        <f>tbl_inventory[[#This Row],[Units_Sold]]*tbl_inventory[[#This Row],[Revenue]]</f>
        <v>2646000</v>
      </c>
    </row>
    <row r="334" spans="1:22" x14ac:dyDescent="0.25">
      <c r="A334" s="2" t="s">
        <v>23</v>
      </c>
      <c r="B334" t="s">
        <v>56</v>
      </c>
      <c r="C334" t="s">
        <v>47</v>
      </c>
      <c r="D334" t="s">
        <v>67</v>
      </c>
      <c r="E334" s="2">
        <v>45717</v>
      </c>
      <c r="F334" s="3">
        <v>265</v>
      </c>
      <c r="G334">
        <v>211</v>
      </c>
      <c r="H334">
        <v>54</v>
      </c>
      <c r="I334">
        <v>800</v>
      </c>
      <c r="J334">
        <v>1500</v>
      </c>
      <c r="K334">
        <f t="shared" si="50"/>
        <v>316500</v>
      </c>
      <c r="L334">
        <f t="shared" si="51"/>
        <v>168800</v>
      </c>
      <c r="M334">
        <f t="shared" si="52"/>
        <v>147700</v>
      </c>
      <c r="N334" s="4">
        <f t="shared" si="53"/>
        <v>0.46666666666666667</v>
      </c>
      <c r="O334" t="str">
        <f t="shared" si="54"/>
        <v>Normal</v>
      </c>
      <c r="P334" t="str">
        <f t="shared" si="55"/>
        <v/>
      </c>
      <c r="Q334" t="str">
        <f t="shared" si="56"/>
        <v/>
      </c>
      <c r="S334">
        <f t="shared" si="57"/>
        <v>159.5</v>
      </c>
      <c r="T334" t="str">
        <f t="shared" si="58"/>
        <v>30-60 Days</v>
      </c>
      <c r="U334">
        <f t="shared" si="59"/>
        <v>43200</v>
      </c>
      <c r="V334">
        <f>tbl_inventory[[#This Row],[Units_Sold]]*tbl_inventory[[#This Row],[Revenue]]</f>
        <v>66781500</v>
      </c>
    </row>
    <row r="335" spans="1:22" x14ac:dyDescent="0.25">
      <c r="A335" s="2" t="s">
        <v>23</v>
      </c>
      <c r="B335" t="s">
        <v>56</v>
      </c>
      <c r="C335" t="s">
        <v>47</v>
      </c>
      <c r="D335" t="s">
        <v>67</v>
      </c>
      <c r="E335" s="2">
        <v>45748</v>
      </c>
      <c r="F335" s="3">
        <v>269</v>
      </c>
      <c r="G335">
        <v>196</v>
      </c>
      <c r="H335">
        <v>73</v>
      </c>
      <c r="I335">
        <v>800</v>
      </c>
      <c r="J335">
        <v>1500</v>
      </c>
      <c r="K335">
        <f t="shared" si="50"/>
        <v>294000</v>
      </c>
      <c r="L335">
        <f t="shared" si="51"/>
        <v>156800</v>
      </c>
      <c r="M335">
        <f t="shared" si="52"/>
        <v>137200</v>
      </c>
      <c r="N335" s="4">
        <f t="shared" si="53"/>
        <v>0.46666666666666667</v>
      </c>
      <c r="O335" t="str">
        <f t="shared" si="54"/>
        <v>Normal</v>
      </c>
      <c r="P335" t="str">
        <f t="shared" si="55"/>
        <v/>
      </c>
      <c r="Q335" t="str">
        <f t="shared" si="56"/>
        <v/>
      </c>
      <c r="S335">
        <f t="shared" si="57"/>
        <v>171</v>
      </c>
      <c r="T335" t="str">
        <f t="shared" si="58"/>
        <v>30-60 Days</v>
      </c>
      <c r="U335">
        <f t="shared" si="59"/>
        <v>58400</v>
      </c>
      <c r="V335">
        <f>tbl_inventory[[#This Row],[Units_Sold]]*tbl_inventory[[#This Row],[Revenue]]</f>
        <v>57624000</v>
      </c>
    </row>
    <row r="336" spans="1:22" x14ac:dyDescent="0.25">
      <c r="A336" s="2" t="s">
        <v>23</v>
      </c>
      <c r="B336" t="s">
        <v>56</v>
      </c>
      <c r="C336" t="s">
        <v>47</v>
      </c>
      <c r="D336" t="s">
        <v>67</v>
      </c>
      <c r="E336" s="2">
        <v>45778</v>
      </c>
      <c r="F336" s="3">
        <v>213</v>
      </c>
      <c r="G336">
        <v>149</v>
      </c>
      <c r="H336">
        <v>64</v>
      </c>
      <c r="I336">
        <v>800</v>
      </c>
      <c r="J336">
        <v>1500</v>
      </c>
      <c r="K336">
        <f t="shared" si="50"/>
        <v>223500</v>
      </c>
      <c r="L336">
        <f t="shared" si="51"/>
        <v>119200</v>
      </c>
      <c r="M336">
        <f t="shared" si="52"/>
        <v>104300</v>
      </c>
      <c r="N336" s="4">
        <f t="shared" si="53"/>
        <v>0.46666666666666667</v>
      </c>
      <c r="O336" t="str">
        <f t="shared" si="54"/>
        <v>Normal</v>
      </c>
      <c r="P336" t="str">
        <f t="shared" si="55"/>
        <v/>
      </c>
      <c r="Q336" t="str">
        <f t="shared" si="56"/>
        <v/>
      </c>
      <c r="S336">
        <f t="shared" si="57"/>
        <v>138.5</v>
      </c>
      <c r="T336" t="str">
        <f t="shared" si="58"/>
        <v>30-60 Days</v>
      </c>
      <c r="U336">
        <f t="shared" si="59"/>
        <v>51200</v>
      </c>
      <c r="V336">
        <f>tbl_inventory[[#This Row],[Units_Sold]]*tbl_inventory[[#This Row],[Revenue]]</f>
        <v>33301500</v>
      </c>
    </row>
    <row r="337" spans="1:22" x14ac:dyDescent="0.25">
      <c r="A337" s="2" t="s">
        <v>23</v>
      </c>
      <c r="B337" t="s">
        <v>56</v>
      </c>
      <c r="C337" t="s">
        <v>47</v>
      </c>
      <c r="D337" t="s">
        <v>67</v>
      </c>
      <c r="E337" s="2">
        <v>45809</v>
      </c>
      <c r="F337" s="3">
        <v>233</v>
      </c>
      <c r="G337">
        <v>167</v>
      </c>
      <c r="H337">
        <v>66</v>
      </c>
      <c r="I337">
        <v>800</v>
      </c>
      <c r="J337">
        <v>1500</v>
      </c>
      <c r="K337">
        <f t="shared" si="50"/>
        <v>250500</v>
      </c>
      <c r="L337">
        <f t="shared" si="51"/>
        <v>133600</v>
      </c>
      <c r="M337">
        <f t="shared" si="52"/>
        <v>116900</v>
      </c>
      <c r="N337" s="4">
        <f t="shared" si="53"/>
        <v>0.46666666666666667</v>
      </c>
      <c r="O337" t="str">
        <f t="shared" si="54"/>
        <v>Normal</v>
      </c>
      <c r="P337" t="str">
        <f t="shared" si="55"/>
        <v/>
      </c>
      <c r="Q337" t="str">
        <f t="shared" si="56"/>
        <v/>
      </c>
      <c r="S337">
        <f t="shared" si="57"/>
        <v>149.5</v>
      </c>
      <c r="T337" t="str">
        <f t="shared" si="58"/>
        <v>30-60 Days</v>
      </c>
      <c r="U337">
        <f t="shared" si="59"/>
        <v>52800</v>
      </c>
      <c r="V337">
        <f>tbl_inventory[[#This Row],[Units_Sold]]*tbl_inventory[[#This Row],[Revenue]]</f>
        <v>41833500</v>
      </c>
    </row>
    <row r="338" spans="1:22" x14ac:dyDescent="0.25">
      <c r="A338" s="2" t="s">
        <v>24</v>
      </c>
      <c r="B338" t="s">
        <v>57</v>
      </c>
      <c r="C338" t="s">
        <v>47</v>
      </c>
      <c r="D338" t="s">
        <v>64</v>
      </c>
      <c r="E338" s="2">
        <v>45658</v>
      </c>
      <c r="F338" s="3">
        <v>135</v>
      </c>
      <c r="G338">
        <v>3</v>
      </c>
      <c r="H338">
        <v>132</v>
      </c>
      <c r="I338">
        <v>1500</v>
      </c>
      <c r="J338">
        <v>2500</v>
      </c>
      <c r="K338">
        <f t="shared" si="50"/>
        <v>7500</v>
      </c>
      <c r="L338">
        <f t="shared" si="51"/>
        <v>4500</v>
      </c>
      <c r="M338">
        <f t="shared" si="52"/>
        <v>3000</v>
      </c>
      <c r="N338" s="4">
        <f t="shared" si="53"/>
        <v>0.4</v>
      </c>
      <c r="O338" t="str">
        <f t="shared" si="54"/>
        <v>Slow Moving</v>
      </c>
      <c r="P338" t="str">
        <f t="shared" si="55"/>
        <v/>
      </c>
      <c r="Q338" t="str">
        <f t="shared" si="56"/>
        <v/>
      </c>
      <c r="S338">
        <f t="shared" si="57"/>
        <v>133.5</v>
      </c>
      <c r="T338" t="str">
        <f t="shared" si="58"/>
        <v>60-90 Days</v>
      </c>
      <c r="U338">
        <f t="shared" si="59"/>
        <v>198000</v>
      </c>
      <c r="V338">
        <f>tbl_inventory[[#This Row],[Units_Sold]]*tbl_inventory[[#This Row],[Revenue]]</f>
        <v>22500</v>
      </c>
    </row>
    <row r="339" spans="1:22" x14ac:dyDescent="0.25">
      <c r="A339" s="2" t="s">
        <v>24</v>
      </c>
      <c r="B339" t="s">
        <v>57</v>
      </c>
      <c r="C339" t="s">
        <v>47</v>
      </c>
      <c r="D339" t="s">
        <v>64</v>
      </c>
      <c r="E339" s="2">
        <v>45689</v>
      </c>
      <c r="F339" s="3">
        <v>112</v>
      </c>
      <c r="G339">
        <v>20</v>
      </c>
      <c r="H339">
        <v>92</v>
      </c>
      <c r="I339">
        <v>1500</v>
      </c>
      <c r="J339">
        <v>2500</v>
      </c>
      <c r="K339">
        <f t="shared" si="50"/>
        <v>50000</v>
      </c>
      <c r="L339">
        <f t="shared" si="51"/>
        <v>30000</v>
      </c>
      <c r="M339">
        <f t="shared" si="52"/>
        <v>20000</v>
      </c>
      <c r="N339" s="4">
        <f t="shared" si="53"/>
        <v>0.4</v>
      </c>
      <c r="O339" t="str">
        <f t="shared" si="54"/>
        <v>Normal</v>
      </c>
      <c r="P339" t="str">
        <f t="shared" si="55"/>
        <v/>
      </c>
      <c r="Q339" t="str">
        <f t="shared" si="56"/>
        <v/>
      </c>
      <c r="S339">
        <f t="shared" si="57"/>
        <v>102</v>
      </c>
      <c r="T339" t="str">
        <f t="shared" si="58"/>
        <v>30-60 Days</v>
      </c>
      <c r="U339">
        <f t="shared" si="59"/>
        <v>138000</v>
      </c>
      <c r="V339">
        <f>tbl_inventory[[#This Row],[Units_Sold]]*tbl_inventory[[#This Row],[Revenue]]</f>
        <v>1000000</v>
      </c>
    </row>
    <row r="340" spans="1:22" x14ac:dyDescent="0.25">
      <c r="A340" s="2" t="s">
        <v>24</v>
      </c>
      <c r="B340" t="s">
        <v>57</v>
      </c>
      <c r="C340" t="s">
        <v>47</v>
      </c>
      <c r="D340" t="s">
        <v>64</v>
      </c>
      <c r="E340" s="2">
        <v>45717</v>
      </c>
      <c r="F340" s="3">
        <v>87</v>
      </c>
      <c r="G340">
        <v>66</v>
      </c>
      <c r="H340">
        <v>21</v>
      </c>
      <c r="I340">
        <v>1500</v>
      </c>
      <c r="J340">
        <v>2500</v>
      </c>
      <c r="K340">
        <f t="shared" si="50"/>
        <v>165000</v>
      </c>
      <c r="L340">
        <f t="shared" si="51"/>
        <v>99000</v>
      </c>
      <c r="M340">
        <f t="shared" si="52"/>
        <v>66000</v>
      </c>
      <c r="N340" s="4">
        <f t="shared" si="53"/>
        <v>0.4</v>
      </c>
      <c r="O340" t="str">
        <f t="shared" si="54"/>
        <v>Normal</v>
      </c>
      <c r="P340" t="str">
        <f t="shared" si="55"/>
        <v/>
      </c>
      <c r="Q340" t="str">
        <f t="shared" si="56"/>
        <v/>
      </c>
      <c r="S340">
        <f t="shared" si="57"/>
        <v>54</v>
      </c>
      <c r="T340" t="str">
        <f t="shared" si="58"/>
        <v>0-30 Days</v>
      </c>
      <c r="U340">
        <f t="shared" si="59"/>
        <v>31500</v>
      </c>
      <c r="V340">
        <f>tbl_inventory[[#This Row],[Units_Sold]]*tbl_inventory[[#This Row],[Revenue]]</f>
        <v>10890000</v>
      </c>
    </row>
    <row r="341" spans="1:22" x14ac:dyDescent="0.25">
      <c r="A341" s="2" t="s">
        <v>24</v>
      </c>
      <c r="B341" t="s">
        <v>57</v>
      </c>
      <c r="C341" t="s">
        <v>47</v>
      </c>
      <c r="D341" t="s">
        <v>64</v>
      </c>
      <c r="E341" s="2">
        <v>45748</v>
      </c>
      <c r="F341" s="3">
        <v>217</v>
      </c>
      <c r="G341">
        <v>200</v>
      </c>
      <c r="H341">
        <v>17</v>
      </c>
      <c r="I341">
        <v>1500</v>
      </c>
      <c r="J341">
        <v>2500</v>
      </c>
      <c r="K341">
        <f t="shared" si="50"/>
        <v>500000</v>
      </c>
      <c r="L341">
        <f t="shared" si="51"/>
        <v>300000</v>
      </c>
      <c r="M341">
        <f t="shared" si="52"/>
        <v>200000</v>
      </c>
      <c r="N341" s="4">
        <f t="shared" si="53"/>
        <v>0.4</v>
      </c>
      <c r="O341" t="str">
        <f t="shared" si="54"/>
        <v>Normal</v>
      </c>
      <c r="P341" t="str">
        <f t="shared" si="55"/>
        <v/>
      </c>
      <c r="Q341" t="str">
        <f t="shared" si="56"/>
        <v/>
      </c>
      <c r="S341">
        <f t="shared" si="57"/>
        <v>117</v>
      </c>
      <c r="T341" t="str">
        <f t="shared" si="58"/>
        <v>0-30 Days</v>
      </c>
      <c r="U341">
        <f t="shared" si="59"/>
        <v>25500</v>
      </c>
      <c r="V341">
        <f>tbl_inventory[[#This Row],[Units_Sold]]*tbl_inventory[[#This Row],[Revenue]]</f>
        <v>100000000</v>
      </c>
    </row>
    <row r="342" spans="1:22" x14ac:dyDescent="0.25">
      <c r="A342" s="2" t="s">
        <v>24</v>
      </c>
      <c r="B342" t="s">
        <v>57</v>
      </c>
      <c r="C342" t="s">
        <v>47</v>
      </c>
      <c r="D342" t="s">
        <v>64</v>
      </c>
      <c r="E342" s="2">
        <v>45778</v>
      </c>
      <c r="F342" s="3">
        <v>80</v>
      </c>
      <c r="G342">
        <v>37</v>
      </c>
      <c r="H342">
        <v>43</v>
      </c>
      <c r="I342">
        <v>1500</v>
      </c>
      <c r="J342">
        <v>2500</v>
      </c>
      <c r="K342">
        <f t="shared" si="50"/>
        <v>92500</v>
      </c>
      <c r="L342">
        <f t="shared" si="51"/>
        <v>55500</v>
      </c>
      <c r="M342">
        <f t="shared" si="52"/>
        <v>37000</v>
      </c>
      <c r="N342" s="4">
        <f t="shared" si="53"/>
        <v>0.4</v>
      </c>
      <c r="O342" t="str">
        <f t="shared" si="54"/>
        <v>Normal</v>
      </c>
      <c r="P342" t="str">
        <f t="shared" si="55"/>
        <v/>
      </c>
      <c r="Q342" t="str">
        <f t="shared" si="56"/>
        <v/>
      </c>
      <c r="S342">
        <f t="shared" si="57"/>
        <v>61.5</v>
      </c>
      <c r="T342" t="str">
        <f t="shared" si="58"/>
        <v>0-30 Days</v>
      </c>
      <c r="U342">
        <f t="shared" si="59"/>
        <v>64500</v>
      </c>
      <c r="V342">
        <f>tbl_inventory[[#This Row],[Units_Sold]]*tbl_inventory[[#This Row],[Revenue]]</f>
        <v>3422500</v>
      </c>
    </row>
    <row r="343" spans="1:22" x14ac:dyDescent="0.25">
      <c r="A343" s="2" t="s">
        <v>24</v>
      </c>
      <c r="B343" t="s">
        <v>57</v>
      </c>
      <c r="C343" t="s">
        <v>47</v>
      </c>
      <c r="D343" t="s">
        <v>64</v>
      </c>
      <c r="E343" s="2">
        <v>45809</v>
      </c>
      <c r="F343" s="3">
        <v>74</v>
      </c>
      <c r="G343">
        <v>63</v>
      </c>
      <c r="H343">
        <v>11</v>
      </c>
      <c r="I343">
        <v>1500</v>
      </c>
      <c r="J343">
        <v>2500</v>
      </c>
      <c r="K343">
        <f t="shared" si="50"/>
        <v>157500</v>
      </c>
      <c r="L343">
        <f t="shared" si="51"/>
        <v>94500</v>
      </c>
      <c r="M343">
        <f t="shared" si="52"/>
        <v>63000</v>
      </c>
      <c r="N343" s="4">
        <f t="shared" si="53"/>
        <v>0.4</v>
      </c>
      <c r="O343" t="str">
        <f t="shared" si="54"/>
        <v>Normal</v>
      </c>
      <c r="P343" t="str">
        <f t="shared" si="55"/>
        <v/>
      </c>
      <c r="Q343" t="str">
        <f t="shared" si="56"/>
        <v/>
      </c>
      <c r="S343">
        <f t="shared" si="57"/>
        <v>42.5</v>
      </c>
      <c r="T343" t="str">
        <f t="shared" si="58"/>
        <v>0-30 Days</v>
      </c>
      <c r="U343">
        <f t="shared" si="59"/>
        <v>16500</v>
      </c>
      <c r="V343">
        <f>tbl_inventory[[#This Row],[Units_Sold]]*tbl_inventory[[#This Row],[Revenue]]</f>
        <v>9922500</v>
      </c>
    </row>
    <row r="344" spans="1:22" x14ac:dyDescent="0.25">
      <c r="A344" s="2" t="s">
        <v>24</v>
      </c>
      <c r="B344" t="s">
        <v>57</v>
      </c>
      <c r="C344" t="s">
        <v>47</v>
      </c>
      <c r="D344" t="s">
        <v>65</v>
      </c>
      <c r="E344" s="2">
        <v>45658</v>
      </c>
      <c r="F344" s="3">
        <v>294</v>
      </c>
      <c r="G344">
        <v>252</v>
      </c>
      <c r="H344">
        <v>42</v>
      </c>
      <c r="I344">
        <v>1500</v>
      </c>
      <c r="J344">
        <v>2500</v>
      </c>
      <c r="K344">
        <f t="shared" si="50"/>
        <v>630000</v>
      </c>
      <c r="L344">
        <f t="shared" si="51"/>
        <v>378000</v>
      </c>
      <c r="M344">
        <f t="shared" si="52"/>
        <v>252000</v>
      </c>
      <c r="N344" s="4">
        <f t="shared" si="53"/>
        <v>0.4</v>
      </c>
      <c r="O344" t="str">
        <f t="shared" si="54"/>
        <v>Normal</v>
      </c>
      <c r="P344" t="str">
        <f t="shared" si="55"/>
        <v/>
      </c>
      <c r="Q344" t="str">
        <f t="shared" si="56"/>
        <v/>
      </c>
      <c r="S344">
        <f t="shared" si="57"/>
        <v>168</v>
      </c>
      <c r="T344" t="str">
        <f t="shared" si="58"/>
        <v>0-30 Days</v>
      </c>
      <c r="U344">
        <f t="shared" si="59"/>
        <v>63000</v>
      </c>
      <c r="V344">
        <f>tbl_inventory[[#This Row],[Units_Sold]]*tbl_inventory[[#This Row],[Revenue]]</f>
        <v>158760000</v>
      </c>
    </row>
    <row r="345" spans="1:22" x14ac:dyDescent="0.25">
      <c r="A345" s="2" t="s">
        <v>24</v>
      </c>
      <c r="B345" t="s">
        <v>57</v>
      </c>
      <c r="C345" t="s">
        <v>47</v>
      </c>
      <c r="D345" t="s">
        <v>65</v>
      </c>
      <c r="E345" s="2">
        <v>45689</v>
      </c>
      <c r="F345" s="3">
        <v>294</v>
      </c>
      <c r="G345">
        <v>280</v>
      </c>
      <c r="H345">
        <v>14</v>
      </c>
      <c r="I345">
        <v>1500</v>
      </c>
      <c r="J345">
        <v>2500</v>
      </c>
      <c r="K345">
        <f t="shared" si="50"/>
        <v>700000</v>
      </c>
      <c r="L345">
        <f t="shared" si="51"/>
        <v>420000</v>
      </c>
      <c r="M345">
        <f t="shared" si="52"/>
        <v>280000</v>
      </c>
      <c r="N345" s="4">
        <f t="shared" si="53"/>
        <v>0.4</v>
      </c>
      <c r="O345" t="str">
        <f t="shared" si="54"/>
        <v>Normal</v>
      </c>
      <c r="P345" t="str">
        <f t="shared" si="55"/>
        <v/>
      </c>
      <c r="Q345" t="str">
        <f t="shared" si="56"/>
        <v/>
      </c>
      <c r="S345">
        <f t="shared" si="57"/>
        <v>154</v>
      </c>
      <c r="T345" t="str">
        <f t="shared" si="58"/>
        <v>0-30 Days</v>
      </c>
      <c r="U345">
        <f t="shared" si="59"/>
        <v>21000</v>
      </c>
      <c r="V345">
        <f>tbl_inventory[[#This Row],[Units_Sold]]*tbl_inventory[[#This Row],[Revenue]]</f>
        <v>196000000</v>
      </c>
    </row>
    <row r="346" spans="1:22" x14ac:dyDescent="0.25">
      <c r="A346" s="2" t="s">
        <v>24</v>
      </c>
      <c r="B346" t="s">
        <v>57</v>
      </c>
      <c r="C346" t="s">
        <v>47</v>
      </c>
      <c r="D346" t="s">
        <v>65</v>
      </c>
      <c r="E346" s="2">
        <v>45717</v>
      </c>
      <c r="F346" s="3">
        <v>162</v>
      </c>
      <c r="G346">
        <v>160</v>
      </c>
      <c r="H346">
        <v>2</v>
      </c>
      <c r="I346">
        <v>1500</v>
      </c>
      <c r="J346">
        <v>2500</v>
      </c>
      <c r="K346">
        <f t="shared" si="50"/>
        <v>400000</v>
      </c>
      <c r="L346">
        <f t="shared" si="51"/>
        <v>240000</v>
      </c>
      <c r="M346">
        <f t="shared" si="52"/>
        <v>160000</v>
      </c>
      <c r="N346" s="4">
        <f t="shared" si="53"/>
        <v>0.4</v>
      </c>
      <c r="O346" t="str">
        <f t="shared" si="54"/>
        <v>Normal</v>
      </c>
      <c r="P346" t="str">
        <f t="shared" si="55"/>
        <v/>
      </c>
      <c r="Q346" t="str">
        <f t="shared" si="56"/>
        <v/>
      </c>
      <c r="S346">
        <f t="shared" si="57"/>
        <v>82</v>
      </c>
      <c r="T346" t="str">
        <f t="shared" si="58"/>
        <v>0-30 Days</v>
      </c>
      <c r="U346">
        <f t="shared" si="59"/>
        <v>3000</v>
      </c>
      <c r="V346">
        <f>tbl_inventory[[#This Row],[Units_Sold]]*tbl_inventory[[#This Row],[Revenue]]</f>
        <v>64000000</v>
      </c>
    </row>
    <row r="347" spans="1:22" x14ac:dyDescent="0.25">
      <c r="A347" s="2" t="s">
        <v>24</v>
      </c>
      <c r="B347" t="s">
        <v>57</v>
      </c>
      <c r="C347" t="s">
        <v>47</v>
      </c>
      <c r="D347" t="s">
        <v>65</v>
      </c>
      <c r="E347" s="2">
        <v>45748</v>
      </c>
      <c r="F347" s="3">
        <v>58</v>
      </c>
      <c r="G347">
        <v>45</v>
      </c>
      <c r="H347">
        <v>13</v>
      </c>
      <c r="I347">
        <v>1500</v>
      </c>
      <c r="J347">
        <v>2500</v>
      </c>
      <c r="K347">
        <f t="shared" si="50"/>
        <v>112500</v>
      </c>
      <c r="L347">
        <f t="shared" si="51"/>
        <v>67500</v>
      </c>
      <c r="M347">
        <f t="shared" si="52"/>
        <v>45000</v>
      </c>
      <c r="N347" s="4">
        <f t="shared" si="53"/>
        <v>0.4</v>
      </c>
      <c r="O347" t="str">
        <f t="shared" si="54"/>
        <v>Normal</v>
      </c>
      <c r="P347" t="str">
        <f t="shared" si="55"/>
        <v/>
      </c>
      <c r="Q347" t="str">
        <f t="shared" si="56"/>
        <v/>
      </c>
      <c r="S347">
        <f t="shared" si="57"/>
        <v>35.5</v>
      </c>
      <c r="T347" t="str">
        <f t="shared" si="58"/>
        <v>0-30 Days</v>
      </c>
      <c r="U347">
        <f t="shared" si="59"/>
        <v>19500</v>
      </c>
      <c r="V347">
        <f>tbl_inventory[[#This Row],[Units_Sold]]*tbl_inventory[[#This Row],[Revenue]]</f>
        <v>5062500</v>
      </c>
    </row>
    <row r="348" spans="1:22" x14ac:dyDescent="0.25">
      <c r="A348" s="2" t="s">
        <v>24</v>
      </c>
      <c r="B348" t="s">
        <v>57</v>
      </c>
      <c r="C348" t="s">
        <v>47</v>
      </c>
      <c r="D348" t="s">
        <v>65</v>
      </c>
      <c r="E348" s="2">
        <v>45778</v>
      </c>
      <c r="F348" s="3">
        <v>64</v>
      </c>
      <c r="G348">
        <v>39</v>
      </c>
      <c r="H348">
        <v>25</v>
      </c>
      <c r="I348">
        <v>1500</v>
      </c>
      <c r="J348">
        <v>2500</v>
      </c>
      <c r="K348">
        <f t="shared" si="50"/>
        <v>97500</v>
      </c>
      <c r="L348">
        <f t="shared" si="51"/>
        <v>58500</v>
      </c>
      <c r="M348">
        <f t="shared" si="52"/>
        <v>39000</v>
      </c>
      <c r="N348" s="4">
        <f t="shared" si="53"/>
        <v>0.4</v>
      </c>
      <c r="O348" t="str">
        <f t="shared" si="54"/>
        <v>Normal</v>
      </c>
      <c r="P348" t="str">
        <f t="shared" si="55"/>
        <v/>
      </c>
      <c r="Q348" t="str">
        <f t="shared" si="56"/>
        <v/>
      </c>
      <c r="S348">
        <f t="shared" si="57"/>
        <v>44.5</v>
      </c>
      <c r="T348" t="str">
        <f t="shared" si="58"/>
        <v>0-30 Days</v>
      </c>
      <c r="U348">
        <f t="shared" si="59"/>
        <v>37500</v>
      </c>
      <c r="V348">
        <f>tbl_inventory[[#This Row],[Units_Sold]]*tbl_inventory[[#This Row],[Revenue]]</f>
        <v>3802500</v>
      </c>
    </row>
    <row r="349" spans="1:22" x14ac:dyDescent="0.25">
      <c r="A349" s="2" t="s">
        <v>24</v>
      </c>
      <c r="B349" t="s">
        <v>57</v>
      </c>
      <c r="C349" t="s">
        <v>47</v>
      </c>
      <c r="D349" t="s">
        <v>65</v>
      </c>
      <c r="E349" s="2">
        <v>45809</v>
      </c>
      <c r="F349" s="3">
        <v>212</v>
      </c>
      <c r="G349">
        <v>212</v>
      </c>
      <c r="H349">
        <v>0</v>
      </c>
      <c r="I349">
        <v>1500</v>
      </c>
      <c r="J349">
        <v>2500</v>
      </c>
      <c r="K349">
        <f t="shared" si="50"/>
        <v>530000</v>
      </c>
      <c r="L349">
        <f t="shared" si="51"/>
        <v>318000</v>
      </c>
      <c r="M349">
        <f t="shared" si="52"/>
        <v>212000</v>
      </c>
      <c r="N349" s="4">
        <f t="shared" si="53"/>
        <v>0.4</v>
      </c>
      <c r="O349" t="str">
        <f t="shared" si="54"/>
        <v>Normal</v>
      </c>
      <c r="P349" t="str">
        <f t="shared" si="55"/>
        <v/>
      </c>
      <c r="Q349" t="str">
        <f t="shared" si="56"/>
        <v/>
      </c>
      <c r="S349">
        <f t="shared" si="57"/>
        <v>106</v>
      </c>
      <c r="T349" t="str">
        <f t="shared" si="58"/>
        <v>0-30 Days</v>
      </c>
      <c r="U349">
        <f t="shared" si="59"/>
        <v>0</v>
      </c>
      <c r="V349">
        <f>tbl_inventory[[#This Row],[Units_Sold]]*tbl_inventory[[#This Row],[Revenue]]</f>
        <v>112360000</v>
      </c>
    </row>
    <row r="350" spans="1:22" x14ac:dyDescent="0.25">
      <c r="A350" s="2" t="s">
        <v>24</v>
      </c>
      <c r="B350" t="s">
        <v>57</v>
      </c>
      <c r="C350" t="s">
        <v>47</v>
      </c>
      <c r="D350" t="s">
        <v>66</v>
      </c>
      <c r="E350" s="2">
        <v>45658</v>
      </c>
      <c r="F350" s="3">
        <v>70</v>
      </c>
      <c r="G350">
        <v>27</v>
      </c>
      <c r="H350">
        <v>43</v>
      </c>
      <c r="I350">
        <v>1500</v>
      </c>
      <c r="J350">
        <v>2500</v>
      </c>
      <c r="K350">
        <f t="shared" si="50"/>
        <v>67500</v>
      </c>
      <c r="L350">
        <f t="shared" si="51"/>
        <v>40500</v>
      </c>
      <c r="M350">
        <f t="shared" si="52"/>
        <v>27000</v>
      </c>
      <c r="N350" s="4">
        <f t="shared" si="53"/>
        <v>0.4</v>
      </c>
      <c r="O350" t="str">
        <f t="shared" si="54"/>
        <v>Normal</v>
      </c>
      <c r="P350" t="str">
        <f t="shared" si="55"/>
        <v/>
      </c>
      <c r="Q350" t="str">
        <f t="shared" si="56"/>
        <v/>
      </c>
      <c r="S350">
        <f t="shared" si="57"/>
        <v>56.5</v>
      </c>
      <c r="T350" t="str">
        <f t="shared" si="58"/>
        <v>0-30 Days</v>
      </c>
      <c r="U350">
        <f t="shared" si="59"/>
        <v>64500</v>
      </c>
      <c r="V350">
        <f>tbl_inventory[[#This Row],[Units_Sold]]*tbl_inventory[[#This Row],[Revenue]]</f>
        <v>1822500</v>
      </c>
    </row>
    <row r="351" spans="1:22" x14ac:dyDescent="0.25">
      <c r="A351" s="2" t="s">
        <v>24</v>
      </c>
      <c r="B351" t="s">
        <v>57</v>
      </c>
      <c r="C351" t="s">
        <v>47</v>
      </c>
      <c r="D351" t="s">
        <v>66</v>
      </c>
      <c r="E351" s="2">
        <v>45689</v>
      </c>
      <c r="F351" s="3">
        <v>61</v>
      </c>
      <c r="G351">
        <v>20</v>
      </c>
      <c r="H351">
        <v>41</v>
      </c>
      <c r="I351">
        <v>1500</v>
      </c>
      <c r="J351">
        <v>2500</v>
      </c>
      <c r="K351">
        <f t="shared" si="50"/>
        <v>50000</v>
      </c>
      <c r="L351">
        <f t="shared" si="51"/>
        <v>30000</v>
      </c>
      <c r="M351">
        <f t="shared" si="52"/>
        <v>20000</v>
      </c>
      <c r="N351" s="4">
        <f t="shared" si="53"/>
        <v>0.4</v>
      </c>
      <c r="O351" t="str">
        <f t="shared" si="54"/>
        <v>Normal</v>
      </c>
      <c r="P351" t="str">
        <f t="shared" si="55"/>
        <v/>
      </c>
      <c r="Q351" t="str">
        <f t="shared" si="56"/>
        <v/>
      </c>
      <c r="S351">
        <f t="shared" si="57"/>
        <v>51</v>
      </c>
      <c r="T351" t="str">
        <f t="shared" si="58"/>
        <v>0-30 Days</v>
      </c>
      <c r="U351">
        <f t="shared" si="59"/>
        <v>61500</v>
      </c>
      <c r="V351">
        <f>tbl_inventory[[#This Row],[Units_Sold]]*tbl_inventory[[#This Row],[Revenue]]</f>
        <v>1000000</v>
      </c>
    </row>
    <row r="352" spans="1:22" x14ac:dyDescent="0.25">
      <c r="A352" s="2" t="s">
        <v>24</v>
      </c>
      <c r="B352" t="s">
        <v>57</v>
      </c>
      <c r="C352" t="s">
        <v>47</v>
      </c>
      <c r="D352" t="s">
        <v>66</v>
      </c>
      <c r="E352" s="2">
        <v>45717</v>
      </c>
      <c r="F352" s="3">
        <v>300</v>
      </c>
      <c r="G352">
        <v>64</v>
      </c>
      <c r="H352">
        <v>236</v>
      </c>
      <c r="I352">
        <v>1500</v>
      </c>
      <c r="J352">
        <v>2500</v>
      </c>
      <c r="K352">
        <f t="shared" si="50"/>
        <v>160000</v>
      </c>
      <c r="L352">
        <f t="shared" si="51"/>
        <v>96000</v>
      </c>
      <c r="M352">
        <f t="shared" si="52"/>
        <v>64000</v>
      </c>
      <c r="N352" s="4">
        <f t="shared" si="53"/>
        <v>0.4</v>
      </c>
      <c r="O352" t="str">
        <f t="shared" si="54"/>
        <v>Normal</v>
      </c>
      <c r="P352" t="str">
        <f t="shared" si="55"/>
        <v/>
      </c>
      <c r="Q352" t="str">
        <f t="shared" si="56"/>
        <v/>
      </c>
      <c r="S352">
        <f t="shared" si="57"/>
        <v>268</v>
      </c>
      <c r="T352" t="str">
        <f t="shared" si="58"/>
        <v>90+ Days</v>
      </c>
      <c r="U352">
        <f t="shared" si="59"/>
        <v>354000</v>
      </c>
      <c r="V352">
        <f>tbl_inventory[[#This Row],[Units_Sold]]*tbl_inventory[[#This Row],[Revenue]]</f>
        <v>10240000</v>
      </c>
    </row>
    <row r="353" spans="1:22" x14ac:dyDescent="0.25">
      <c r="A353" s="2" t="s">
        <v>24</v>
      </c>
      <c r="B353" t="s">
        <v>57</v>
      </c>
      <c r="C353" t="s">
        <v>47</v>
      </c>
      <c r="D353" t="s">
        <v>66</v>
      </c>
      <c r="E353" s="2">
        <v>45748</v>
      </c>
      <c r="F353" s="3">
        <v>269</v>
      </c>
      <c r="G353">
        <v>180</v>
      </c>
      <c r="H353">
        <v>89</v>
      </c>
      <c r="I353">
        <v>1500</v>
      </c>
      <c r="J353">
        <v>2500</v>
      </c>
      <c r="K353">
        <f t="shared" si="50"/>
        <v>450000</v>
      </c>
      <c r="L353">
        <f t="shared" si="51"/>
        <v>270000</v>
      </c>
      <c r="M353">
        <f t="shared" si="52"/>
        <v>180000</v>
      </c>
      <c r="N353" s="4">
        <f t="shared" si="53"/>
        <v>0.4</v>
      </c>
      <c r="O353" t="str">
        <f t="shared" si="54"/>
        <v>Normal</v>
      </c>
      <c r="P353" t="str">
        <f t="shared" si="55"/>
        <v/>
      </c>
      <c r="Q353" t="str">
        <f t="shared" si="56"/>
        <v/>
      </c>
      <c r="S353">
        <f t="shared" si="57"/>
        <v>179</v>
      </c>
      <c r="T353" t="str">
        <f t="shared" si="58"/>
        <v>30-60 Days</v>
      </c>
      <c r="U353">
        <f t="shared" si="59"/>
        <v>133500</v>
      </c>
      <c r="V353">
        <f>tbl_inventory[[#This Row],[Units_Sold]]*tbl_inventory[[#This Row],[Revenue]]</f>
        <v>81000000</v>
      </c>
    </row>
    <row r="354" spans="1:22" x14ac:dyDescent="0.25">
      <c r="A354" s="2" t="s">
        <v>24</v>
      </c>
      <c r="B354" t="s">
        <v>57</v>
      </c>
      <c r="C354" t="s">
        <v>47</v>
      </c>
      <c r="D354" t="s">
        <v>66</v>
      </c>
      <c r="E354" s="2">
        <v>45778</v>
      </c>
      <c r="F354" s="3">
        <v>139</v>
      </c>
      <c r="G354">
        <v>89</v>
      </c>
      <c r="H354">
        <v>50</v>
      </c>
      <c r="I354">
        <v>1500</v>
      </c>
      <c r="J354">
        <v>2500</v>
      </c>
      <c r="K354">
        <f t="shared" si="50"/>
        <v>222500</v>
      </c>
      <c r="L354">
        <f t="shared" si="51"/>
        <v>133500</v>
      </c>
      <c r="M354">
        <f t="shared" si="52"/>
        <v>89000</v>
      </c>
      <c r="N354" s="4">
        <f t="shared" si="53"/>
        <v>0.4</v>
      </c>
      <c r="O354" t="str">
        <f t="shared" si="54"/>
        <v>Normal</v>
      </c>
      <c r="P354" t="str">
        <f t="shared" si="55"/>
        <v/>
      </c>
      <c r="Q354" t="str">
        <f t="shared" si="56"/>
        <v/>
      </c>
      <c r="S354">
        <f t="shared" si="57"/>
        <v>94.5</v>
      </c>
      <c r="T354" t="str">
        <f t="shared" si="58"/>
        <v>0-30 Days</v>
      </c>
      <c r="U354">
        <f t="shared" si="59"/>
        <v>75000</v>
      </c>
      <c r="V354">
        <f>tbl_inventory[[#This Row],[Units_Sold]]*tbl_inventory[[#This Row],[Revenue]]</f>
        <v>19802500</v>
      </c>
    </row>
    <row r="355" spans="1:22" x14ac:dyDescent="0.25">
      <c r="A355" s="2" t="s">
        <v>24</v>
      </c>
      <c r="B355" t="s">
        <v>57</v>
      </c>
      <c r="C355" t="s">
        <v>47</v>
      </c>
      <c r="D355" t="s">
        <v>66</v>
      </c>
      <c r="E355" s="2">
        <v>45809</v>
      </c>
      <c r="F355" s="3">
        <v>152</v>
      </c>
      <c r="G355">
        <v>3</v>
      </c>
      <c r="H355">
        <v>149</v>
      </c>
      <c r="I355">
        <v>1500</v>
      </c>
      <c r="J355">
        <v>2500</v>
      </c>
      <c r="K355">
        <f t="shared" si="50"/>
        <v>7500</v>
      </c>
      <c r="L355">
        <f t="shared" si="51"/>
        <v>4500</v>
      </c>
      <c r="M355">
        <f t="shared" si="52"/>
        <v>3000</v>
      </c>
      <c r="N355" s="4">
        <f t="shared" si="53"/>
        <v>0.4</v>
      </c>
      <c r="O355" t="str">
        <f t="shared" si="54"/>
        <v>Slow Moving</v>
      </c>
      <c r="P355" t="str">
        <f t="shared" si="55"/>
        <v/>
      </c>
      <c r="Q355" t="str">
        <f t="shared" si="56"/>
        <v/>
      </c>
      <c r="S355">
        <f t="shared" si="57"/>
        <v>150.5</v>
      </c>
      <c r="T355" t="str">
        <f t="shared" si="58"/>
        <v>60-90 Days</v>
      </c>
      <c r="U355">
        <f t="shared" si="59"/>
        <v>223500</v>
      </c>
      <c r="V355">
        <f>tbl_inventory[[#This Row],[Units_Sold]]*tbl_inventory[[#This Row],[Revenue]]</f>
        <v>22500</v>
      </c>
    </row>
    <row r="356" spans="1:22" x14ac:dyDescent="0.25">
      <c r="A356" s="2" t="s">
        <v>24</v>
      </c>
      <c r="B356" t="s">
        <v>57</v>
      </c>
      <c r="C356" t="s">
        <v>47</v>
      </c>
      <c r="D356" t="s">
        <v>67</v>
      </c>
      <c r="E356" s="2">
        <v>45658</v>
      </c>
      <c r="F356" s="3">
        <v>101</v>
      </c>
      <c r="G356">
        <v>34</v>
      </c>
      <c r="H356">
        <v>67</v>
      </c>
      <c r="I356">
        <v>1500</v>
      </c>
      <c r="J356">
        <v>2500</v>
      </c>
      <c r="K356">
        <f t="shared" si="50"/>
        <v>85000</v>
      </c>
      <c r="L356">
        <f t="shared" si="51"/>
        <v>51000</v>
      </c>
      <c r="M356">
        <f t="shared" si="52"/>
        <v>34000</v>
      </c>
      <c r="N356" s="4">
        <f t="shared" si="53"/>
        <v>0.4</v>
      </c>
      <c r="O356" t="str">
        <f t="shared" si="54"/>
        <v>Normal</v>
      </c>
      <c r="P356" t="str">
        <f t="shared" si="55"/>
        <v/>
      </c>
      <c r="Q356" t="str">
        <f t="shared" si="56"/>
        <v/>
      </c>
      <c r="S356">
        <f t="shared" si="57"/>
        <v>84</v>
      </c>
      <c r="T356" t="str">
        <f t="shared" si="58"/>
        <v>30-60 Days</v>
      </c>
      <c r="U356">
        <f t="shared" si="59"/>
        <v>100500</v>
      </c>
      <c r="V356">
        <f>tbl_inventory[[#This Row],[Units_Sold]]*tbl_inventory[[#This Row],[Revenue]]</f>
        <v>2890000</v>
      </c>
    </row>
    <row r="357" spans="1:22" x14ac:dyDescent="0.25">
      <c r="A357" s="2" t="s">
        <v>24</v>
      </c>
      <c r="B357" t="s">
        <v>57</v>
      </c>
      <c r="C357" t="s">
        <v>47</v>
      </c>
      <c r="D357" t="s">
        <v>67</v>
      </c>
      <c r="E357" s="2">
        <v>45689</v>
      </c>
      <c r="F357" s="3">
        <v>233</v>
      </c>
      <c r="G357">
        <v>185</v>
      </c>
      <c r="H357">
        <v>48</v>
      </c>
      <c r="I357">
        <v>1500</v>
      </c>
      <c r="J357">
        <v>2500</v>
      </c>
      <c r="K357">
        <f t="shared" si="50"/>
        <v>462500</v>
      </c>
      <c r="L357">
        <f t="shared" si="51"/>
        <v>277500</v>
      </c>
      <c r="M357">
        <f t="shared" si="52"/>
        <v>185000</v>
      </c>
      <c r="N357" s="4">
        <f t="shared" si="53"/>
        <v>0.4</v>
      </c>
      <c r="O357" t="str">
        <f t="shared" si="54"/>
        <v>Normal</v>
      </c>
      <c r="P357" t="str">
        <f t="shared" si="55"/>
        <v/>
      </c>
      <c r="Q357" t="str">
        <f t="shared" si="56"/>
        <v/>
      </c>
      <c r="S357">
        <f t="shared" si="57"/>
        <v>140.5</v>
      </c>
      <c r="T357" t="str">
        <f t="shared" si="58"/>
        <v>0-30 Days</v>
      </c>
      <c r="U357">
        <f t="shared" si="59"/>
        <v>72000</v>
      </c>
      <c r="V357">
        <f>tbl_inventory[[#This Row],[Units_Sold]]*tbl_inventory[[#This Row],[Revenue]]</f>
        <v>85562500</v>
      </c>
    </row>
    <row r="358" spans="1:22" x14ac:dyDescent="0.25">
      <c r="A358" s="2" t="s">
        <v>24</v>
      </c>
      <c r="B358" t="s">
        <v>57</v>
      </c>
      <c r="C358" t="s">
        <v>47</v>
      </c>
      <c r="D358" t="s">
        <v>67</v>
      </c>
      <c r="E358" s="2">
        <v>45717</v>
      </c>
      <c r="F358" s="3">
        <v>62</v>
      </c>
      <c r="G358">
        <v>42</v>
      </c>
      <c r="H358">
        <v>20</v>
      </c>
      <c r="I358">
        <v>1500</v>
      </c>
      <c r="J358">
        <v>2500</v>
      </c>
      <c r="K358">
        <f t="shared" si="50"/>
        <v>105000</v>
      </c>
      <c r="L358">
        <f t="shared" si="51"/>
        <v>63000</v>
      </c>
      <c r="M358">
        <f t="shared" si="52"/>
        <v>42000</v>
      </c>
      <c r="N358" s="4">
        <f t="shared" si="53"/>
        <v>0.4</v>
      </c>
      <c r="O358" t="str">
        <f t="shared" si="54"/>
        <v>Normal</v>
      </c>
      <c r="P358" t="str">
        <f t="shared" si="55"/>
        <v/>
      </c>
      <c r="Q358" t="str">
        <f t="shared" si="56"/>
        <v/>
      </c>
      <c r="S358">
        <f t="shared" si="57"/>
        <v>41</v>
      </c>
      <c r="T358" t="str">
        <f t="shared" si="58"/>
        <v>0-30 Days</v>
      </c>
      <c r="U358">
        <f t="shared" si="59"/>
        <v>30000</v>
      </c>
      <c r="V358">
        <f>tbl_inventory[[#This Row],[Units_Sold]]*tbl_inventory[[#This Row],[Revenue]]</f>
        <v>4410000</v>
      </c>
    </row>
    <row r="359" spans="1:22" x14ac:dyDescent="0.25">
      <c r="A359" s="2" t="s">
        <v>24</v>
      </c>
      <c r="B359" t="s">
        <v>57</v>
      </c>
      <c r="C359" t="s">
        <v>47</v>
      </c>
      <c r="D359" t="s">
        <v>67</v>
      </c>
      <c r="E359" s="2">
        <v>45748</v>
      </c>
      <c r="F359" s="3">
        <v>76</v>
      </c>
      <c r="G359">
        <v>45</v>
      </c>
      <c r="H359">
        <v>31</v>
      </c>
      <c r="I359">
        <v>1500</v>
      </c>
      <c r="J359">
        <v>2500</v>
      </c>
      <c r="K359">
        <f t="shared" si="50"/>
        <v>112500</v>
      </c>
      <c r="L359">
        <f t="shared" si="51"/>
        <v>67500</v>
      </c>
      <c r="M359">
        <f t="shared" si="52"/>
        <v>45000</v>
      </c>
      <c r="N359" s="4">
        <f t="shared" si="53"/>
        <v>0.4</v>
      </c>
      <c r="O359" t="str">
        <f t="shared" si="54"/>
        <v>Normal</v>
      </c>
      <c r="P359" t="str">
        <f t="shared" si="55"/>
        <v/>
      </c>
      <c r="Q359" t="str">
        <f t="shared" si="56"/>
        <v/>
      </c>
      <c r="S359">
        <f t="shared" si="57"/>
        <v>53.5</v>
      </c>
      <c r="T359" t="str">
        <f t="shared" si="58"/>
        <v>0-30 Days</v>
      </c>
      <c r="U359">
        <f t="shared" si="59"/>
        <v>46500</v>
      </c>
      <c r="V359">
        <f>tbl_inventory[[#This Row],[Units_Sold]]*tbl_inventory[[#This Row],[Revenue]]</f>
        <v>5062500</v>
      </c>
    </row>
    <row r="360" spans="1:22" x14ac:dyDescent="0.25">
      <c r="A360" s="2" t="s">
        <v>24</v>
      </c>
      <c r="B360" t="s">
        <v>57</v>
      </c>
      <c r="C360" t="s">
        <v>47</v>
      </c>
      <c r="D360" t="s">
        <v>67</v>
      </c>
      <c r="E360" s="2">
        <v>45778</v>
      </c>
      <c r="F360" s="3">
        <v>91</v>
      </c>
      <c r="G360">
        <v>41</v>
      </c>
      <c r="H360">
        <v>50</v>
      </c>
      <c r="I360">
        <v>1500</v>
      </c>
      <c r="J360">
        <v>2500</v>
      </c>
      <c r="K360">
        <f t="shared" si="50"/>
        <v>102500</v>
      </c>
      <c r="L360">
        <f t="shared" si="51"/>
        <v>61500</v>
      </c>
      <c r="M360">
        <f t="shared" si="52"/>
        <v>41000</v>
      </c>
      <c r="N360" s="4">
        <f t="shared" si="53"/>
        <v>0.4</v>
      </c>
      <c r="O360" t="str">
        <f t="shared" si="54"/>
        <v>Normal</v>
      </c>
      <c r="P360" t="str">
        <f t="shared" si="55"/>
        <v/>
      </c>
      <c r="Q360" t="str">
        <f t="shared" si="56"/>
        <v/>
      </c>
      <c r="S360">
        <f t="shared" si="57"/>
        <v>70.5</v>
      </c>
      <c r="T360" t="str">
        <f t="shared" si="58"/>
        <v>0-30 Days</v>
      </c>
      <c r="U360">
        <f t="shared" si="59"/>
        <v>75000</v>
      </c>
      <c r="V360">
        <f>tbl_inventory[[#This Row],[Units_Sold]]*tbl_inventory[[#This Row],[Revenue]]</f>
        <v>4202500</v>
      </c>
    </row>
    <row r="361" spans="1:22" x14ac:dyDescent="0.25">
      <c r="A361" s="2" t="s">
        <v>24</v>
      </c>
      <c r="B361" t="s">
        <v>57</v>
      </c>
      <c r="C361" t="s">
        <v>47</v>
      </c>
      <c r="D361" t="s">
        <v>67</v>
      </c>
      <c r="E361" s="2">
        <v>45809</v>
      </c>
      <c r="F361" s="3">
        <v>168</v>
      </c>
      <c r="G361">
        <v>21</v>
      </c>
      <c r="H361">
        <v>147</v>
      </c>
      <c r="I361">
        <v>1500</v>
      </c>
      <c r="J361">
        <v>2500</v>
      </c>
      <c r="K361">
        <f t="shared" si="50"/>
        <v>52500</v>
      </c>
      <c r="L361">
        <f t="shared" si="51"/>
        <v>31500</v>
      </c>
      <c r="M361">
        <f t="shared" si="52"/>
        <v>21000</v>
      </c>
      <c r="N361" s="4">
        <f t="shared" si="53"/>
        <v>0.4</v>
      </c>
      <c r="O361" t="str">
        <f t="shared" si="54"/>
        <v>Normal</v>
      </c>
      <c r="P361" t="str">
        <f t="shared" si="55"/>
        <v/>
      </c>
      <c r="Q361" t="str">
        <f t="shared" si="56"/>
        <v/>
      </c>
      <c r="S361">
        <f t="shared" si="57"/>
        <v>157.5</v>
      </c>
      <c r="T361" t="str">
        <f t="shared" si="58"/>
        <v>60-90 Days</v>
      </c>
      <c r="U361">
        <f t="shared" si="59"/>
        <v>220500</v>
      </c>
      <c r="V361">
        <f>tbl_inventory[[#This Row],[Units_Sold]]*tbl_inventory[[#This Row],[Revenue]]</f>
        <v>1102500</v>
      </c>
    </row>
    <row r="362" spans="1:22" x14ac:dyDescent="0.25">
      <c r="A362" s="2" t="s">
        <v>25</v>
      </c>
      <c r="B362" t="s">
        <v>58</v>
      </c>
      <c r="C362" t="s">
        <v>47</v>
      </c>
      <c r="D362" t="s">
        <v>64</v>
      </c>
      <c r="E362" s="2">
        <v>45658</v>
      </c>
      <c r="F362" s="3">
        <v>93</v>
      </c>
      <c r="G362">
        <v>90</v>
      </c>
      <c r="H362">
        <v>3</v>
      </c>
      <c r="I362">
        <v>400</v>
      </c>
      <c r="J362">
        <v>900</v>
      </c>
      <c r="K362">
        <f t="shared" si="50"/>
        <v>81000</v>
      </c>
      <c r="L362">
        <f t="shared" si="51"/>
        <v>36000</v>
      </c>
      <c r="M362">
        <f t="shared" si="52"/>
        <v>45000</v>
      </c>
      <c r="N362" s="4">
        <f t="shared" si="53"/>
        <v>0.55555555555555558</v>
      </c>
      <c r="O362" t="str">
        <f t="shared" si="54"/>
        <v>Normal</v>
      </c>
      <c r="P362" t="str">
        <f t="shared" si="55"/>
        <v/>
      </c>
      <c r="Q362" t="str">
        <f t="shared" si="56"/>
        <v/>
      </c>
      <c r="S362">
        <f t="shared" si="57"/>
        <v>48</v>
      </c>
      <c r="T362" t="str">
        <f t="shared" si="58"/>
        <v>0-30 Days</v>
      </c>
      <c r="U362">
        <f t="shared" si="59"/>
        <v>1200</v>
      </c>
      <c r="V362">
        <f>tbl_inventory[[#This Row],[Units_Sold]]*tbl_inventory[[#This Row],[Revenue]]</f>
        <v>7290000</v>
      </c>
    </row>
    <row r="363" spans="1:22" x14ac:dyDescent="0.25">
      <c r="A363" s="2" t="s">
        <v>25</v>
      </c>
      <c r="B363" t="s">
        <v>58</v>
      </c>
      <c r="C363" t="s">
        <v>47</v>
      </c>
      <c r="D363" t="s">
        <v>64</v>
      </c>
      <c r="E363" s="2">
        <v>45689</v>
      </c>
      <c r="F363" s="3">
        <v>83</v>
      </c>
      <c r="G363">
        <v>72</v>
      </c>
      <c r="H363">
        <v>11</v>
      </c>
      <c r="I363">
        <v>400</v>
      </c>
      <c r="J363">
        <v>900</v>
      </c>
      <c r="K363">
        <f t="shared" si="50"/>
        <v>64800</v>
      </c>
      <c r="L363">
        <f t="shared" si="51"/>
        <v>28800</v>
      </c>
      <c r="M363">
        <f t="shared" si="52"/>
        <v>36000</v>
      </c>
      <c r="N363" s="4">
        <f t="shared" si="53"/>
        <v>0.55555555555555558</v>
      </c>
      <c r="O363" t="str">
        <f t="shared" si="54"/>
        <v>Normal</v>
      </c>
      <c r="P363" t="str">
        <f t="shared" si="55"/>
        <v/>
      </c>
      <c r="Q363" t="str">
        <f t="shared" si="56"/>
        <v/>
      </c>
      <c r="S363">
        <f t="shared" si="57"/>
        <v>47</v>
      </c>
      <c r="T363" t="str">
        <f t="shared" si="58"/>
        <v>0-30 Days</v>
      </c>
      <c r="U363">
        <f t="shared" si="59"/>
        <v>4400</v>
      </c>
      <c r="V363">
        <f>tbl_inventory[[#This Row],[Units_Sold]]*tbl_inventory[[#This Row],[Revenue]]</f>
        <v>4665600</v>
      </c>
    </row>
    <row r="364" spans="1:22" x14ac:dyDescent="0.25">
      <c r="A364" s="2" t="s">
        <v>25</v>
      </c>
      <c r="B364" t="s">
        <v>58</v>
      </c>
      <c r="C364" t="s">
        <v>47</v>
      </c>
      <c r="D364" t="s">
        <v>64</v>
      </c>
      <c r="E364" s="2">
        <v>45717</v>
      </c>
      <c r="F364" s="3">
        <v>92</v>
      </c>
      <c r="G364">
        <v>10</v>
      </c>
      <c r="H364">
        <v>82</v>
      </c>
      <c r="I364">
        <v>400</v>
      </c>
      <c r="J364">
        <v>900</v>
      </c>
      <c r="K364">
        <f t="shared" si="50"/>
        <v>9000</v>
      </c>
      <c r="L364">
        <f t="shared" si="51"/>
        <v>4000</v>
      </c>
      <c r="M364">
        <f t="shared" si="52"/>
        <v>5000</v>
      </c>
      <c r="N364" s="4">
        <f t="shared" si="53"/>
        <v>0.55555555555555558</v>
      </c>
      <c r="O364" t="str">
        <f t="shared" si="54"/>
        <v>Slow Moving</v>
      </c>
      <c r="P364" t="str">
        <f t="shared" si="55"/>
        <v/>
      </c>
      <c r="Q364" t="str">
        <f t="shared" si="56"/>
        <v/>
      </c>
      <c r="S364">
        <f t="shared" si="57"/>
        <v>87</v>
      </c>
      <c r="T364" t="str">
        <f t="shared" si="58"/>
        <v>30-60 Days</v>
      </c>
      <c r="U364">
        <f t="shared" si="59"/>
        <v>32800</v>
      </c>
      <c r="V364">
        <f>tbl_inventory[[#This Row],[Units_Sold]]*tbl_inventory[[#This Row],[Revenue]]</f>
        <v>90000</v>
      </c>
    </row>
    <row r="365" spans="1:22" x14ac:dyDescent="0.25">
      <c r="A365" s="2" t="s">
        <v>25</v>
      </c>
      <c r="B365" t="s">
        <v>58</v>
      </c>
      <c r="C365" t="s">
        <v>47</v>
      </c>
      <c r="D365" t="s">
        <v>64</v>
      </c>
      <c r="E365" s="2">
        <v>45748</v>
      </c>
      <c r="F365" s="3">
        <v>272</v>
      </c>
      <c r="G365">
        <v>174</v>
      </c>
      <c r="H365">
        <v>98</v>
      </c>
      <c r="I365">
        <v>400</v>
      </c>
      <c r="J365">
        <v>900</v>
      </c>
      <c r="K365">
        <f t="shared" si="50"/>
        <v>156600</v>
      </c>
      <c r="L365">
        <f t="shared" si="51"/>
        <v>69600</v>
      </c>
      <c r="M365">
        <f t="shared" si="52"/>
        <v>87000</v>
      </c>
      <c r="N365" s="4">
        <f t="shared" si="53"/>
        <v>0.55555555555555558</v>
      </c>
      <c r="O365" t="str">
        <f t="shared" si="54"/>
        <v>Normal</v>
      </c>
      <c r="P365" t="str">
        <f t="shared" si="55"/>
        <v/>
      </c>
      <c r="Q365" t="str">
        <f t="shared" si="56"/>
        <v/>
      </c>
      <c r="S365">
        <f t="shared" si="57"/>
        <v>185</v>
      </c>
      <c r="T365" t="str">
        <f t="shared" si="58"/>
        <v>30-60 Days</v>
      </c>
      <c r="U365">
        <f t="shared" si="59"/>
        <v>39200</v>
      </c>
      <c r="V365">
        <f>tbl_inventory[[#This Row],[Units_Sold]]*tbl_inventory[[#This Row],[Revenue]]</f>
        <v>27248400</v>
      </c>
    </row>
    <row r="366" spans="1:22" x14ac:dyDescent="0.25">
      <c r="A366" s="2" t="s">
        <v>25</v>
      </c>
      <c r="B366" t="s">
        <v>58</v>
      </c>
      <c r="C366" t="s">
        <v>47</v>
      </c>
      <c r="D366" t="s">
        <v>64</v>
      </c>
      <c r="E366" s="2">
        <v>45778</v>
      </c>
      <c r="F366" s="3">
        <v>227</v>
      </c>
      <c r="G366">
        <v>163</v>
      </c>
      <c r="H366">
        <v>64</v>
      </c>
      <c r="I366">
        <v>400</v>
      </c>
      <c r="J366">
        <v>900</v>
      </c>
      <c r="K366">
        <f t="shared" si="50"/>
        <v>146700</v>
      </c>
      <c r="L366">
        <f t="shared" si="51"/>
        <v>65200</v>
      </c>
      <c r="M366">
        <f t="shared" si="52"/>
        <v>81500</v>
      </c>
      <c r="N366" s="4">
        <f t="shared" si="53"/>
        <v>0.55555555555555558</v>
      </c>
      <c r="O366" t="str">
        <f t="shared" si="54"/>
        <v>Normal</v>
      </c>
      <c r="P366" t="str">
        <f t="shared" si="55"/>
        <v/>
      </c>
      <c r="Q366" t="str">
        <f t="shared" si="56"/>
        <v/>
      </c>
      <c r="S366">
        <f t="shared" si="57"/>
        <v>145.5</v>
      </c>
      <c r="T366" t="str">
        <f t="shared" si="58"/>
        <v>30-60 Days</v>
      </c>
      <c r="U366">
        <f t="shared" si="59"/>
        <v>25600</v>
      </c>
      <c r="V366">
        <f>tbl_inventory[[#This Row],[Units_Sold]]*tbl_inventory[[#This Row],[Revenue]]</f>
        <v>23912100</v>
      </c>
    </row>
    <row r="367" spans="1:22" x14ac:dyDescent="0.25">
      <c r="A367" s="2" t="s">
        <v>25</v>
      </c>
      <c r="B367" t="s">
        <v>58</v>
      </c>
      <c r="C367" t="s">
        <v>47</v>
      </c>
      <c r="D367" t="s">
        <v>64</v>
      </c>
      <c r="E367" s="2">
        <v>45809</v>
      </c>
      <c r="F367" s="3">
        <v>76</v>
      </c>
      <c r="G367">
        <v>14</v>
      </c>
      <c r="H367">
        <v>62</v>
      </c>
      <c r="I367">
        <v>400</v>
      </c>
      <c r="J367">
        <v>900</v>
      </c>
      <c r="K367">
        <f t="shared" si="50"/>
        <v>12600</v>
      </c>
      <c r="L367">
        <f t="shared" si="51"/>
        <v>5600</v>
      </c>
      <c r="M367">
        <f t="shared" si="52"/>
        <v>7000</v>
      </c>
      <c r="N367" s="4">
        <f t="shared" si="53"/>
        <v>0.55555555555555558</v>
      </c>
      <c r="O367" t="str">
        <f t="shared" si="54"/>
        <v>Slow Moving</v>
      </c>
      <c r="P367" t="str">
        <f t="shared" si="55"/>
        <v/>
      </c>
      <c r="Q367" t="str">
        <f t="shared" si="56"/>
        <v/>
      </c>
      <c r="S367">
        <f t="shared" si="57"/>
        <v>69</v>
      </c>
      <c r="T367" t="str">
        <f t="shared" si="58"/>
        <v>30-60 Days</v>
      </c>
      <c r="U367">
        <f t="shared" si="59"/>
        <v>24800</v>
      </c>
      <c r="V367">
        <f>tbl_inventory[[#This Row],[Units_Sold]]*tbl_inventory[[#This Row],[Revenue]]</f>
        <v>176400</v>
      </c>
    </row>
    <row r="368" spans="1:22" x14ac:dyDescent="0.25">
      <c r="A368" s="2" t="s">
        <v>25</v>
      </c>
      <c r="B368" t="s">
        <v>58</v>
      </c>
      <c r="C368" t="s">
        <v>47</v>
      </c>
      <c r="D368" t="s">
        <v>65</v>
      </c>
      <c r="E368" s="2">
        <v>45658</v>
      </c>
      <c r="F368" s="3">
        <v>100</v>
      </c>
      <c r="G368">
        <v>51</v>
      </c>
      <c r="H368">
        <v>49</v>
      </c>
      <c r="I368">
        <v>400</v>
      </c>
      <c r="J368">
        <v>900</v>
      </c>
      <c r="K368">
        <f t="shared" si="50"/>
        <v>45900</v>
      </c>
      <c r="L368">
        <f t="shared" si="51"/>
        <v>20400</v>
      </c>
      <c r="M368">
        <f t="shared" si="52"/>
        <v>25500</v>
      </c>
      <c r="N368" s="4">
        <f t="shared" si="53"/>
        <v>0.55555555555555558</v>
      </c>
      <c r="O368" t="str">
        <f t="shared" si="54"/>
        <v>Normal</v>
      </c>
      <c r="P368" t="str">
        <f t="shared" si="55"/>
        <v/>
      </c>
      <c r="Q368" t="str">
        <f t="shared" si="56"/>
        <v/>
      </c>
      <c r="S368">
        <f t="shared" si="57"/>
        <v>74.5</v>
      </c>
      <c r="T368" t="str">
        <f t="shared" si="58"/>
        <v>0-30 Days</v>
      </c>
      <c r="U368">
        <f t="shared" si="59"/>
        <v>19600</v>
      </c>
      <c r="V368">
        <f>tbl_inventory[[#This Row],[Units_Sold]]*tbl_inventory[[#This Row],[Revenue]]</f>
        <v>2340900</v>
      </c>
    </row>
    <row r="369" spans="1:22" x14ac:dyDescent="0.25">
      <c r="A369" s="2" t="s">
        <v>25</v>
      </c>
      <c r="B369" t="s">
        <v>58</v>
      </c>
      <c r="C369" t="s">
        <v>47</v>
      </c>
      <c r="D369" t="s">
        <v>65</v>
      </c>
      <c r="E369" s="2">
        <v>45689</v>
      </c>
      <c r="F369" s="3">
        <v>249</v>
      </c>
      <c r="G369">
        <v>22</v>
      </c>
      <c r="H369">
        <v>227</v>
      </c>
      <c r="I369">
        <v>400</v>
      </c>
      <c r="J369">
        <v>900</v>
      </c>
      <c r="K369">
        <f t="shared" si="50"/>
        <v>19800</v>
      </c>
      <c r="L369">
        <f t="shared" si="51"/>
        <v>8800</v>
      </c>
      <c r="M369">
        <f t="shared" si="52"/>
        <v>11000</v>
      </c>
      <c r="N369" s="4">
        <f t="shared" si="53"/>
        <v>0.55555555555555558</v>
      </c>
      <c r="O369" t="str">
        <f t="shared" si="54"/>
        <v>Normal</v>
      </c>
      <c r="P369" t="str">
        <f t="shared" si="55"/>
        <v/>
      </c>
      <c r="Q369" t="str">
        <f t="shared" si="56"/>
        <v/>
      </c>
      <c r="S369">
        <f t="shared" si="57"/>
        <v>238</v>
      </c>
      <c r="T369" t="str">
        <f t="shared" si="58"/>
        <v>90+ Days</v>
      </c>
      <c r="U369">
        <f t="shared" si="59"/>
        <v>90800</v>
      </c>
      <c r="V369">
        <f>tbl_inventory[[#This Row],[Units_Sold]]*tbl_inventory[[#This Row],[Revenue]]</f>
        <v>435600</v>
      </c>
    </row>
    <row r="370" spans="1:22" x14ac:dyDescent="0.25">
      <c r="A370" s="2" t="s">
        <v>25</v>
      </c>
      <c r="B370" t="s">
        <v>58</v>
      </c>
      <c r="C370" t="s">
        <v>47</v>
      </c>
      <c r="D370" t="s">
        <v>65</v>
      </c>
      <c r="E370" s="2">
        <v>45717</v>
      </c>
      <c r="F370" s="3">
        <v>88</v>
      </c>
      <c r="G370">
        <v>60</v>
      </c>
      <c r="H370">
        <v>28</v>
      </c>
      <c r="I370">
        <v>400</v>
      </c>
      <c r="J370">
        <v>900</v>
      </c>
      <c r="K370">
        <f t="shared" si="50"/>
        <v>54000</v>
      </c>
      <c r="L370">
        <f t="shared" si="51"/>
        <v>24000</v>
      </c>
      <c r="M370">
        <f t="shared" si="52"/>
        <v>30000</v>
      </c>
      <c r="N370" s="4">
        <f t="shared" si="53"/>
        <v>0.55555555555555558</v>
      </c>
      <c r="O370" t="str">
        <f t="shared" si="54"/>
        <v>Normal</v>
      </c>
      <c r="P370" t="str">
        <f t="shared" si="55"/>
        <v/>
      </c>
      <c r="Q370" t="str">
        <f t="shared" si="56"/>
        <v/>
      </c>
      <c r="S370">
        <f t="shared" si="57"/>
        <v>58</v>
      </c>
      <c r="T370" t="str">
        <f t="shared" si="58"/>
        <v>0-30 Days</v>
      </c>
      <c r="U370">
        <f t="shared" si="59"/>
        <v>11200</v>
      </c>
      <c r="V370">
        <f>tbl_inventory[[#This Row],[Units_Sold]]*tbl_inventory[[#This Row],[Revenue]]</f>
        <v>3240000</v>
      </c>
    </row>
    <row r="371" spans="1:22" x14ac:dyDescent="0.25">
      <c r="A371" s="2" t="s">
        <v>25</v>
      </c>
      <c r="B371" t="s">
        <v>58</v>
      </c>
      <c r="C371" t="s">
        <v>47</v>
      </c>
      <c r="D371" t="s">
        <v>65</v>
      </c>
      <c r="E371" s="2">
        <v>45748</v>
      </c>
      <c r="F371" s="3">
        <v>298</v>
      </c>
      <c r="G371">
        <v>135</v>
      </c>
      <c r="H371">
        <v>163</v>
      </c>
      <c r="I371">
        <v>400</v>
      </c>
      <c r="J371">
        <v>900</v>
      </c>
      <c r="K371">
        <f t="shared" si="50"/>
        <v>121500</v>
      </c>
      <c r="L371">
        <f t="shared" si="51"/>
        <v>54000</v>
      </c>
      <c r="M371">
        <f t="shared" si="52"/>
        <v>67500</v>
      </c>
      <c r="N371" s="4">
        <f t="shared" si="53"/>
        <v>0.55555555555555558</v>
      </c>
      <c r="O371" t="str">
        <f t="shared" si="54"/>
        <v>Normal</v>
      </c>
      <c r="P371" t="str">
        <f t="shared" si="55"/>
        <v/>
      </c>
      <c r="Q371" t="str">
        <f t="shared" si="56"/>
        <v/>
      </c>
      <c r="S371">
        <f t="shared" si="57"/>
        <v>230.5</v>
      </c>
      <c r="T371" t="str">
        <f t="shared" si="58"/>
        <v>60-90 Days</v>
      </c>
      <c r="U371">
        <f t="shared" si="59"/>
        <v>65200</v>
      </c>
      <c r="V371">
        <f>tbl_inventory[[#This Row],[Units_Sold]]*tbl_inventory[[#This Row],[Revenue]]</f>
        <v>16402500</v>
      </c>
    </row>
    <row r="372" spans="1:22" x14ac:dyDescent="0.25">
      <c r="A372" s="2" t="s">
        <v>25</v>
      </c>
      <c r="B372" t="s">
        <v>58</v>
      </c>
      <c r="C372" t="s">
        <v>47</v>
      </c>
      <c r="D372" t="s">
        <v>65</v>
      </c>
      <c r="E372" s="2">
        <v>45778</v>
      </c>
      <c r="F372" s="3">
        <v>246</v>
      </c>
      <c r="G372">
        <v>210</v>
      </c>
      <c r="H372">
        <v>36</v>
      </c>
      <c r="I372">
        <v>400</v>
      </c>
      <c r="J372">
        <v>900</v>
      </c>
      <c r="K372">
        <f t="shared" si="50"/>
        <v>189000</v>
      </c>
      <c r="L372">
        <f t="shared" si="51"/>
        <v>84000</v>
      </c>
      <c r="M372">
        <f t="shared" si="52"/>
        <v>105000</v>
      </c>
      <c r="N372" s="4">
        <f t="shared" si="53"/>
        <v>0.55555555555555558</v>
      </c>
      <c r="O372" t="str">
        <f t="shared" si="54"/>
        <v>Normal</v>
      </c>
      <c r="P372" t="str">
        <f t="shared" si="55"/>
        <v/>
      </c>
      <c r="Q372" t="str">
        <f t="shared" si="56"/>
        <v/>
      </c>
      <c r="S372">
        <f t="shared" si="57"/>
        <v>141</v>
      </c>
      <c r="T372" t="str">
        <f t="shared" si="58"/>
        <v>0-30 Days</v>
      </c>
      <c r="U372">
        <f t="shared" si="59"/>
        <v>14400</v>
      </c>
      <c r="V372">
        <f>tbl_inventory[[#This Row],[Units_Sold]]*tbl_inventory[[#This Row],[Revenue]]</f>
        <v>39690000</v>
      </c>
    </row>
    <row r="373" spans="1:22" x14ac:dyDescent="0.25">
      <c r="A373" s="2" t="s">
        <v>25</v>
      </c>
      <c r="B373" t="s">
        <v>58</v>
      </c>
      <c r="C373" t="s">
        <v>47</v>
      </c>
      <c r="D373" t="s">
        <v>65</v>
      </c>
      <c r="E373" s="2">
        <v>45809</v>
      </c>
      <c r="F373" s="3">
        <v>168</v>
      </c>
      <c r="G373">
        <v>135</v>
      </c>
      <c r="H373">
        <v>33</v>
      </c>
      <c r="I373">
        <v>400</v>
      </c>
      <c r="J373">
        <v>900</v>
      </c>
      <c r="K373">
        <f t="shared" si="50"/>
        <v>121500</v>
      </c>
      <c r="L373">
        <f t="shared" si="51"/>
        <v>54000</v>
      </c>
      <c r="M373">
        <f t="shared" si="52"/>
        <v>67500</v>
      </c>
      <c r="N373" s="4">
        <f t="shared" si="53"/>
        <v>0.55555555555555558</v>
      </c>
      <c r="O373" t="str">
        <f t="shared" si="54"/>
        <v>Normal</v>
      </c>
      <c r="P373" t="str">
        <f t="shared" si="55"/>
        <v/>
      </c>
      <c r="Q373" t="str">
        <f t="shared" si="56"/>
        <v/>
      </c>
      <c r="S373">
        <f t="shared" si="57"/>
        <v>100.5</v>
      </c>
      <c r="T373" t="str">
        <f t="shared" si="58"/>
        <v>0-30 Days</v>
      </c>
      <c r="U373">
        <f t="shared" si="59"/>
        <v>13200</v>
      </c>
      <c r="V373">
        <f>tbl_inventory[[#This Row],[Units_Sold]]*tbl_inventory[[#This Row],[Revenue]]</f>
        <v>16402500</v>
      </c>
    </row>
    <row r="374" spans="1:22" x14ac:dyDescent="0.25">
      <c r="A374" s="2" t="s">
        <v>25</v>
      </c>
      <c r="B374" t="s">
        <v>58</v>
      </c>
      <c r="C374" t="s">
        <v>47</v>
      </c>
      <c r="D374" t="s">
        <v>66</v>
      </c>
      <c r="E374" s="2">
        <v>45658</v>
      </c>
      <c r="F374" s="3">
        <v>256</v>
      </c>
      <c r="G374">
        <v>223</v>
      </c>
      <c r="H374">
        <v>33</v>
      </c>
      <c r="I374">
        <v>400</v>
      </c>
      <c r="J374">
        <v>900</v>
      </c>
      <c r="K374">
        <f t="shared" si="50"/>
        <v>200700</v>
      </c>
      <c r="L374">
        <f t="shared" si="51"/>
        <v>89200</v>
      </c>
      <c r="M374">
        <f t="shared" si="52"/>
        <v>111500</v>
      </c>
      <c r="N374" s="4">
        <f t="shared" si="53"/>
        <v>0.55555555555555558</v>
      </c>
      <c r="O374" t="str">
        <f t="shared" si="54"/>
        <v>Normal</v>
      </c>
      <c r="P374" t="str">
        <f t="shared" si="55"/>
        <v/>
      </c>
      <c r="Q374" t="str">
        <f t="shared" si="56"/>
        <v/>
      </c>
      <c r="S374">
        <f t="shared" si="57"/>
        <v>144.5</v>
      </c>
      <c r="T374" t="str">
        <f t="shared" si="58"/>
        <v>0-30 Days</v>
      </c>
      <c r="U374">
        <f t="shared" si="59"/>
        <v>13200</v>
      </c>
      <c r="V374">
        <f>tbl_inventory[[#This Row],[Units_Sold]]*tbl_inventory[[#This Row],[Revenue]]</f>
        <v>44756100</v>
      </c>
    </row>
    <row r="375" spans="1:22" x14ac:dyDescent="0.25">
      <c r="A375" s="2" t="s">
        <v>25</v>
      </c>
      <c r="B375" t="s">
        <v>58</v>
      </c>
      <c r="C375" t="s">
        <v>47</v>
      </c>
      <c r="D375" t="s">
        <v>66</v>
      </c>
      <c r="E375" s="2">
        <v>45689</v>
      </c>
      <c r="F375" s="3">
        <v>190</v>
      </c>
      <c r="G375">
        <v>182</v>
      </c>
      <c r="H375">
        <v>8</v>
      </c>
      <c r="I375">
        <v>400</v>
      </c>
      <c r="J375">
        <v>900</v>
      </c>
      <c r="K375">
        <f t="shared" si="50"/>
        <v>163800</v>
      </c>
      <c r="L375">
        <f t="shared" si="51"/>
        <v>72800</v>
      </c>
      <c r="M375">
        <f t="shared" si="52"/>
        <v>91000</v>
      </c>
      <c r="N375" s="4">
        <f t="shared" si="53"/>
        <v>0.55555555555555558</v>
      </c>
      <c r="O375" t="str">
        <f t="shared" si="54"/>
        <v>Normal</v>
      </c>
      <c r="P375" t="str">
        <f t="shared" si="55"/>
        <v/>
      </c>
      <c r="Q375" t="str">
        <f t="shared" si="56"/>
        <v/>
      </c>
      <c r="S375">
        <f t="shared" si="57"/>
        <v>99</v>
      </c>
      <c r="T375" t="str">
        <f t="shared" si="58"/>
        <v>0-30 Days</v>
      </c>
      <c r="U375">
        <f t="shared" si="59"/>
        <v>3200</v>
      </c>
      <c r="V375">
        <f>tbl_inventory[[#This Row],[Units_Sold]]*tbl_inventory[[#This Row],[Revenue]]</f>
        <v>29811600</v>
      </c>
    </row>
    <row r="376" spans="1:22" x14ac:dyDescent="0.25">
      <c r="A376" s="2" t="s">
        <v>25</v>
      </c>
      <c r="B376" t="s">
        <v>58</v>
      </c>
      <c r="C376" t="s">
        <v>47</v>
      </c>
      <c r="D376" t="s">
        <v>66</v>
      </c>
      <c r="E376" s="2">
        <v>45717</v>
      </c>
      <c r="F376" s="3">
        <v>222</v>
      </c>
      <c r="G376">
        <v>33</v>
      </c>
      <c r="H376">
        <v>189</v>
      </c>
      <c r="I376">
        <v>400</v>
      </c>
      <c r="J376">
        <v>900</v>
      </c>
      <c r="K376">
        <f t="shared" si="50"/>
        <v>29700</v>
      </c>
      <c r="L376">
        <f t="shared" si="51"/>
        <v>13200</v>
      </c>
      <c r="M376">
        <f t="shared" si="52"/>
        <v>16500</v>
      </c>
      <c r="N376" s="4">
        <f t="shared" si="53"/>
        <v>0.55555555555555558</v>
      </c>
      <c r="O376" t="str">
        <f t="shared" si="54"/>
        <v>Normal</v>
      </c>
      <c r="P376" t="str">
        <f t="shared" si="55"/>
        <v/>
      </c>
      <c r="Q376" t="str">
        <f t="shared" si="56"/>
        <v/>
      </c>
      <c r="S376">
        <f t="shared" si="57"/>
        <v>205.5</v>
      </c>
      <c r="T376" t="str">
        <f t="shared" si="58"/>
        <v>60-90 Days</v>
      </c>
      <c r="U376">
        <f t="shared" si="59"/>
        <v>75600</v>
      </c>
      <c r="V376">
        <f>tbl_inventory[[#This Row],[Units_Sold]]*tbl_inventory[[#This Row],[Revenue]]</f>
        <v>980100</v>
      </c>
    </row>
    <row r="377" spans="1:22" x14ac:dyDescent="0.25">
      <c r="A377" s="2" t="s">
        <v>25</v>
      </c>
      <c r="B377" t="s">
        <v>58</v>
      </c>
      <c r="C377" t="s">
        <v>47</v>
      </c>
      <c r="D377" t="s">
        <v>66</v>
      </c>
      <c r="E377" s="2">
        <v>45748</v>
      </c>
      <c r="F377" s="3">
        <v>283</v>
      </c>
      <c r="G377">
        <v>83</v>
      </c>
      <c r="H377">
        <v>200</v>
      </c>
      <c r="I377">
        <v>400</v>
      </c>
      <c r="J377">
        <v>900</v>
      </c>
      <c r="K377">
        <f t="shared" si="50"/>
        <v>74700</v>
      </c>
      <c r="L377">
        <f t="shared" si="51"/>
        <v>33200</v>
      </c>
      <c r="M377">
        <f t="shared" si="52"/>
        <v>41500</v>
      </c>
      <c r="N377" s="4">
        <f t="shared" si="53"/>
        <v>0.55555555555555558</v>
      </c>
      <c r="O377" t="str">
        <f t="shared" si="54"/>
        <v>Normal</v>
      </c>
      <c r="P377" t="str">
        <f t="shared" si="55"/>
        <v/>
      </c>
      <c r="Q377" t="str">
        <f t="shared" si="56"/>
        <v/>
      </c>
      <c r="S377">
        <f t="shared" si="57"/>
        <v>241.5</v>
      </c>
      <c r="T377" t="str">
        <f t="shared" si="58"/>
        <v>60-90 Days</v>
      </c>
      <c r="U377">
        <f t="shared" si="59"/>
        <v>80000</v>
      </c>
      <c r="V377">
        <f>tbl_inventory[[#This Row],[Units_Sold]]*tbl_inventory[[#This Row],[Revenue]]</f>
        <v>6200100</v>
      </c>
    </row>
    <row r="378" spans="1:22" x14ac:dyDescent="0.25">
      <c r="A378" s="2" t="s">
        <v>25</v>
      </c>
      <c r="B378" t="s">
        <v>58</v>
      </c>
      <c r="C378" t="s">
        <v>47</v>
      </c>
      <c r="D378" t="s">
        <v>66</v>
      </c>
      <c r="E378" s="2">
        <v>45778</v>
      </c>
      <c r="F378" s="3">
        <v>95</v>
      </c>
      <c r="G378">
        <v>92</v>
      </c>
      <c r="H378">
        <v>3</v>
      </c>
      <c r="I378">
        <v>400</v>
      </c>
      <c r="J378">
        <v>900</v>
      </c>
      <c r="K378">
        <f t="shared" si="50"/>
        <v>82800</v>
      </c>
      <c r="L378">
        <f t="shared" si="51"/>
        <v>36800</v>
      </c>
      <c r="M378">
        <f t="shared" si="52"/>
        <v>46000</v>
      </c>
      <c r="N378" s="4">
        <f t="shared" si="53"/>
        <v>0.55555555555555558</v>
      </c>
      <c r="O378" t="str">
        <f t="shared" si="54"/>
        <v>Normal</v>
      </c>
      <c r="P378" t="str">
        <f t="shared" si="55"/>
        <v/>
      </c>
      <c r="Q378" t="str">
        <f t="shared" si="56"/>
        <v/>
      </c>
      <c r="S378">
        <f t="shared" si="57"/>
        <v>49</v>
      </c>
      <c r="T378" t="str">
        <f t="shared" si="58"/>
        <v>0-30 Days</v>
      </c>
      <c r="U378">
        <f t="shared" si="59"/>
        <v>1200</v>
      </c>
      <c r="V378">
        <f>tbl_inventory[[#This Row],[Units_Sold]]*tbl_inventory[[#This Row],[Revenue]]</f>
        <v>7617600</v>
      </c>
    </row>
    <row r="379" spans="1:22" x14ac:dyDescent="0.25">
      <c r="A379" s="2" t="s">
        <v>25</v>
      </c>
      <c r="B379" t="s">
        <v>58</v>
      </c>
      <c r="C379" t="s">
        <v>47</v>
      </c>
      <c r="D379" t="s">
        <v>66</v>
      </c>
      <c r="E379" s="2">
        <v>45809</v>
      </c>
      <c r="F379" s="3">
        <v>284</v>
      </c>
      <c r="G379">
        <v>235</v>
      </c>
      <c r="H379">
        <v>49</v>
      </c>
      <c r="I379">
        <v>400</v>
      </c>
      <c r="J379">
        <v>900</v>
      </c>
      <c r="K379">
        <f t="shared" si="50"/>
        <v>211500</v>
      </c>
      <c r="L379">
        <f t="shared" si="51"/>
        <v>94000</v>
      </c>
      <c r="M379">
        <f t="shared" si="52"/>
        <v>117500</v>
      </c>
      <c r="N379" s="4">
        <f t="shared" si="53"/>
        <v>0.55555555555555558</v>
      </c>
      <c r="O379" t="str">
        <f t="shared" si="54"/>
        <v>Normal</v>
      </c>
      <c r="P379" t="str">
        <f t="shared" si="55"/>
        <v/>
      </c>
      <c r="Q379" t="str">
        <f t="shared" si="56"/>
        <v/>
      </c>
      <c r="S379">
        <f t="shared" si="57"/>
        <v>166.5</v>
      </c>
      <c r="T379" t="str">
        <f t="shared" si="58"/>
        <v>0-30 Days</v>
      </c>
      <c r="U379">
        <f t="shared" si="59"/>
        <v>19600</v>
      </c>
      <c r="V379">
        <f>tbl_inventory[[#This Row],[Units_Sold]]*tbl_inventory[[#This Row],[Revenue]]</f>
        <v>49702500</v>
      </c>
    </row>
    <row r="380" spans="1:22" x14ac:dyDescent="0.25">
      <c r="A380" s="2" t="s">
        <v>25</v>
      </c>
      <c r="B380" t="s">
        <v>58</v>
      </c>
      <c r="C380" t="s">
        <v>47</v>
      </c>
      <c r="D380" t="s">
        <v>67</v>
      </c>
      <c r="E380" s="2">
        <v>45658</v>
      </c>
      <c r="F380" s="3">
        <v>133</v>
      </c>
      <c r="G380">
        <v>38</v>
      </c>
      <c r="H380">
        <v>95</v>
      </c>
      <c r="I380">
        <v>400</v>
      </c>
      <c r="J380">
        <v>900</v>
      </c>
      <c r="K380">
        <f t="shared" si="50"/>
        <v>34200</v>
      </c>
      <c r="L380">
        <f t="shared" si="51"/>
        <v>15200</v>
      </c>
      <c r="M380">
        <f t="shared" si="52"/>
        <v>19000</v>
      </c>
      <c r="N380" s="4">
        <f t="shared" si="53"/>
        <v>0.55555555555555558</v>
      </c>
      <c r="O380" t="str">
        <f t="shared" si="54"/>
        <v>Normal</v>
      </c>
      <c r="P380" t="str">
        <f t="shared" si="55"/>
        <v/>
      </c>
      <c r="Q380" t="str">
        <f t="shared" si="56"/>
        <v/>
      </c>
      <c r="S380">
        <f t="shared" si="57"/>
        <v>114</v>
      </c>
      <c r="T380" t="str">
        <f t="shared" si="58"/>
        <v>30-60 Days</v>
      </c>
      <c r="U380">
        <f t="shared" si="59"/>
        <v>38000</v>
      </c>
      <c r="V380">
        <f>tbl_inventory[[#This Row],[Units_Sold]]*tbl_inventory[[#This Row],[Revenue]]</f>
        <v>1299600</v>
      </c>
    </row>
    <row r="381" spans="1:22" x14ac:dyDescent="0.25">
      <c r="A381" s="2" t="s">
        <v>25</v>
      </c>
      <c r="B381" t="s">
        <v>58</v>
      </c>
      <c r="C381" t="s">
        <v>47</v>
      </c>
      <c r="D381" t="s">
        <v>67</v>
      </c>
      <c r="E381" s="2">
        <v>45689</v>
      </c>
      <c r="F381" s="3">
        <v>127</v>
      </c>
      <c r="G381">
        <v>79</v>
      </c>
      <c r="H381">
        <v>48</v>
      </c>
      <c r="I381">
        <v>400</v>
      </c>
      <c r="J381">
        <v>900</v>
      </c>
      <c r="K381">
        <f t="shared" si="50"/>
        <v>71100</v>
      </c>
      <c r="L381">
        <f t="shared" si="51"/>
        <v>31600</v>
      </c>
      <c r="M381">
        <f t="shared" si="52"/>
        <v>39500</v>
      </c>
      <c r="N381" s="4">
        <f t="shared" si="53"/>
        <v>0.55555555555555558</v>
      </c>
      <c r="O381" t="str">
        <f t="shared" si="54"/>
        <v>Normal</v>
      </c>
      <c r="P381" t="str">
        <f t="shared" si="55"/>
        <v/>
      </c>
      <c r="Q381" t="str">
        <f t="shared" si="56"/>
        <v/>
      </c>
      <c r="S381">
        <f t="shared" si="57"/>
        <v>87.5</v>
      </c>
      <c r="T381" t="str">
        <f t="shared" si="58"/>
        <v>0-30 Days</v>
      </c>
      <c r="U381">
        <f t="shared" si="59"/>
        <v>19200</v>
      </c>
      <c r="V381">
        <f>tbl_inventory[[#This Row],[Units_Sold]]*tbl_inventory[[#This Row],[Revenue]]</f>
        <v>5616900</v>
      </c>
    </row>
    <row r="382" spans="1:22" x14ac:dyDescent="0.25">
      <c r="A382" s="2" t="s">
        <v>25</v>
      </c>
      <c r="B382" t="s">
        <v>58</v>
      </c>
      <c r="C382" t="s">
        <v>47</v>
      </c>
      <c r="D382" t="s">
        <v>67</v>
      </c>
      <c r="E382" s="2">
        <v>45717</v>
      </c>
      <c r="F382" s="3">
        <v>289</v>
      </c>
      <c r="G382">
        <v>170</v>
      </c>
      <c r="H382">
        <v>119</v>
      </c>
      <c r="I382">
        <v>400</v>
      </c>
      <c r="J382">
        <v>900</v>
      </c>
      <c r="K382">
        <f t="shared" si="50"/>
        <v>153000</v>
      </c>
      <c r="L382">
        <f t="shared" si="51"/>
        <v>68000</v>
      </c>
      <c r="M382">
        <f t="shared" si="52"/>
        <v>85000</v>
      </c>
      <c r="N382" s="4">
        <f t="shared" si="53"/>
        <v>0.55555555555555558</v>
      </c>
      <c r="O382" t="str">
        <f t="shared" si="54"/>
        <v>Normal</v>
      </c>
      <c r="P382" t="str">
        <f t="shared" si="55"/>
        <v/>
      </c>
      <c r="Q382" t="str">
        <f t="shared" si="56"/>
        <v/>
      </c>
      <c r="S382">
        <f t="shared" si="57"/>
        <v>204</v>
      </c>
      <c r="T382" t="str">
        <f t="shared" si="58"/>
        <v>60-90 Days</v>
      </c>
      <c r="U382">
        <f t="shared" si="59"/>
        <v>47600</v>
      </c>
      <c r="V382">
        <f>tbl_inventory[[#This Row],[Units_Sold]]*tbl_inventory[[#This Row],[Revenue]]</f>
        <v>26010000</v>
      </c>
    </row>
    <row r="383" spans="1:22" x14ac:dyDescent="0.25">
      <c r="A383" s="2" t="s">
        <v>25</v>
      </c>
      <c r="B383" t="s">
        <v>58</v>
      </c>
      <c r="C383" t="s">
        <v>47</v>
      </c>
      <c r="D383" t="s">
        <v>67</v>
      </c>
      <c r="E383" s="2">
        <v>45748</v>
      </c>
      <c r="F383" s="3">
        <v>142</v>
      </c>
      <c r="G383">
        <v>47</v>
      </c>
      <c r="H383">
        <v>95</v>
      </c>
      <c r="I383">
        <v>400</v>
      </c>
      <c r="J383">
        <v>900</v>
      </c>
      <c r="K383">
        <f t="shared" si="50"/>
        <v>42300</v>
      </c>
      <c r="L383">
        <f t="shared" si="51"/>
        <v>18800</v>
      </c>
      <c r="M383">
        <f t="shared" si="52"/>
        <v>23500</v>
      </c>
      <c r="N383" s="4">
        <f t="shared" si="53"/>
        <v>0.55555555555555558</v>
      </c>
      <c r="O383" t="str">
        <f t="shared" si="54"/>
        <v>Normal</v>
      </c>
      <c r="P383" t="str">
        <f t="shared" si="55"/>
        <v/>
      </c>
      <c r="Q383" t="str">
        <f t="shared" si="56"/>
        <v/>
      </c>
      <c r="S383">
        <f t="shared" si="57"/>
        <v>118.5</v>
      </c>
      <c r="T383" t="str">
        <f t="shared" si="58"/>
        <v>30-60 Days</v>
      </c>
      <c r="U383">
        <f t="shared" si="59"/>
        <v>38000</v>
      </c>
      <c r="V383">
        <f>tbl_inventory[[#This Row],[Units_Sold]]*tbl_inventory[[#This Row],[Revenue]]</f>
        <v>1988100</v>
      </c>
    </row>
    <row r="384" spans="1:22" x14ac:dyDescent="0.25">
      <c r="A384" s="2" t="s">
        <v>25</v>
      </c>
      <c r="B384" t="s">
        <v>58</v>
      </c>
      <c r="C384" t="s">
        <v>47</v>
      </c>
      <c r="D384" t="s">
        <v>67</v>
      </c>
      <c r="E384" s="2">
        <v>45778</v>
      </c>
      <c r="F384" s="3">
        <v>272</v>
      </c>
      <c r="G384">
        <v>137</v>
      </c>
      <c r="H384">
        <v>135</v>
      </c>
      <c r="I384">
        <v>400</v>
      </c>
      <c r="J384">
        <v>900</v>
      </c>
      <c r="K384">
        <f t="shared" si="50"/>
        <v>123300</v>
      </c>
      <c r="L384">
        <f t="shared" si="51"/>
        <v>54800</v>
      </c>
      <c r="M384">
        <f t="shared" si="52"/>
        <v>68500</v>
      </c>
      <c r="N384" s="4">
        <f t="shared" si="53"/>
        <v>0.55555555555555558</v>
      </c>
      <c r="O384" t="str">
        <f t="shared" si="54"/>
        <v>Normal</v>
      </c>
      <c r="P384" t="str">
        <f t="shared" si="55"/>
        <v/>
      </c>
      <c r="Q384" t="str">
        <f t="shared" si="56"/>
        <v/>
      </c>
      <c r="S384">
        <f t="shared" si="57"/>
        <v>203.5</v>
      </c>
      <c r="T384" t="str">
        <f t="shared" si="58"/>
        <v>60-90 Days</v>
      </c>
      <c r="U384">
        <f t="shared" si="59"/>
        <v>54000</v>
      </c>
      <c r="V384">
        <f>tbl_inventory[[#This Row],[Units_Sold]]*tbl_inventory[[#This Row],[Revenue]]</f>
        <v>16892100</v>
      </c>
    </row>
    <row r="385" spans="1:22" x14ac:dyDescent="0.25">
      <c r="A385" s="2" t="s">
        <v>25</v>
      </c>
      <c r="B385" t="s">
        <v>58</v>
      </c>
      <c r="C385" t="s">
        <v>47</v>
      </c>
      <c r="D385" t="s">
        <v>67</v>
      </c>
      <c r="E385" s="2">
        <v>45809</v>
      </c>
      <c r="F385" s="3">
        <v>73</v>
      </c>
      <c r="G385">
        <v>57</v>
      </c>
      <c r="H385">
        <v>16</v>
      </c>
      <c r="I385">
        <v>400</v>
      </c>
      <c r="J385">
        <v>900</v>
      </c>
      <c r="K385">
        <f t="shared" si="50"/>
        <v>51300</v>
      </c>
      <c r="L385">
        <f t="shared" si="51"/>
        <v>22800</v>
      </c>
      <c r="M385">
        <f t="shared" si="52"/>
        <v>28500</v>
      </c>
      <c r="N385" s="4">
        <f t="shared" si="53"/>
        <v>0.55555555555555558</v>
      </c>
      <c r="O385" t="str">
        <f t="shared" si="54"/>
        <v>Normal</v>
      </c>
      <c r="P385" t="str">
        <f t="shared" si="55"/>
        <v/>
      </c>
      <c r="Q385" t="str">
        <f t="shared" si="56"/>
        <v/>
      </c>
      <c r="S385">
        <f t="shared" si="57"/>
        <v>44.5</v>
      </c>
      <c r="T385" t="str">
        <f t="shared" si="58"/>
        <v>0-30 Days</v>
      </c>
      <c r="U385">
        <f t="shared" si="59"/>
        <v>6400</v>
      </c>
      <c r="V385">
        <f>tbl_inventory[[#This Row],[Units_Sold]]*tbl_inventory[[#This Row],[Revenue]]</f>
        <v>2924100</v>
      </c>
    </row>
    <row r="386" spans="1:22" x14ac:dyDescent="0.25">
      <c r="A386" s="2" t="s">
        <v>26</v>
      </c>
      <c r="B386" t="s">
        <v>59</v>
      </c>
      <c r="C386" t="s">
        <v>63</v>
      </c>
      <c r="D386" t="s">
        <v>64</v>
      </c>
      <c r="E386" s="2">
        <v>45658</v>
      </c>
      <c r="F386" s="3">
        <v>93</v>
      </c>
      <c r="G386">
        <v>82</v>
      </c>
      <c r="H386">
        <v>11</v>
      </c>
      <c r="I386">
        <v>200</v>
      </c>
      <c r="J386">
        <v>500</v>
      </c>
      <c r="K386">
        <f t="shared" si="50"/>
        <v>41000</v>
      </c>
      <c r="L386">
        <f t="shared" si="51"/>
        <v>16400</v>
      </c>
      <c r="M386">
        <f t="shared" si="52"/>
        <v>24600</v>
      </c>
      <c r="N386" s="4">
        <f t="shared" si="53"/>
        <v>0.6</v>
      </c>
      <c r="O386" t="str">
        <f t="shared" si="54"/>
        <v>Normal</v>
      </c>
      <c r="P386" t="str">
        <f t="shared" si="55"/>
        <v/>
      </c>
      <c r="Q386" t="str">
        <f t="shared" si="56"/>
        <v/>
      </c>
      <c r="S386">
        <f t="shared" si="57"/>
        <v>52</v>
      </c>
      <c r="T386" t="str">
        <f t="shared" si="58"/>
        <v>0-30 Days</v>
      </c>
      <c r="U386">
        <f t="shared" si="59"/>
        <v>2200</v>
      </c>
      <c r="V386">
        <f>tbl_inventory[[#This Row],[Units_Sold]]*tbl_inventory[[#This Row],[Revenue]]</f>
        <v>3362000</v>
      </c>
    </row>
    <row r="387" spans="1:22" x14ac:dyDescent="0.25">
      <c r="A387" s="2" t="s">
        <v>26</v>
      </c>
      <c r="B387" t="s">
        <v>59</v>
      </c>
      <c r="C387" t="s">
        <v>63</v>
      </c>
      <c r="D387" t="s">
        <v>64</v>
      </c>
      <c r="E387" s="2">
        <v>45689</v>
      </c>
      <c r="F387" s="3">
        <v>64</v>
      </c>
      <c r="G387">
        <v>34</v>
      </c>
      <c r="H387">
        <v>30</v>
      </c>
      <c r="I387">
        <v>200</v>
      </c>
      <c r="J387">
        <v>500</v>
      </c>
      <c r="K387">
        <f t="shared" ref="K387:K450" si="60">G387*J387</f>
        <v>17000</v>
      </c>
      <c r="L387">
        <f t="shared" ref="L387:L450" si="61">G387*I387</f>
        <v>6800</v>
      </c>
      <c r="M387">
        <f t="shared" ref="M387:M450" si="62">K387-L387</f>
        <v>10200</v>
      </c>
      <c r="N387" s="4">
        <f t="shared" ref="N387:N450" si="63">IF(K387=0,0,M387/K387)</f>
        <v>0.6</v>
      </c>
      <c r="O387" t="str">
        <f t="shared" ref="O387:O450" si="64">IF(G387&lt;20,"Slow Moving","Normal")</f>
        <v>Normal</v>
      </c>
      <c r="P387" t="str">
        <f t="shared" ref="P387:P450" si="65">IF(G387=0,"Dead Stock","")</f>
        <v/>
      </c>
      <c r="Q387" t="str">
        <f t="shared" ref="Q387:Q450" si="66">IF(N387&lt;0.1,"Low Margin","")</f>
        <v/>
      </c>
      <c r="S387">
        <f t="shared" ref="S387:S450" si="67">(F387+H387)/2</f>
        <v>47</v>
      </c>
      <c r="T387" t="str">
        <f t="shared" ref="T387:T450" si="68">IF(H387&gt;200,"90+ Days",
IF(H387&gt;100,"60-90 Days",
IF(H387&gt;50,"30-60 Days","0-30 Days")))</f>
        <v>0-30 Days</v>
      </c>
      <c r="U387">
        <f t="shared" ref="U387:U450" si="69">H387 * I387</f>
        <v>6000</v>
      </c>
      <c r="V387">
        <f>tbl_inventory[[#This Row],[Units_Sold]]*tbl_inventory[[#This Row],[Revenue]]</f>
        <v>578000</v>
      </c>
    </row>
    <row r="388" spans="1:22" x14ac:dyDescent="0.25">
      <c r="A388" s="2" t="s">
        <v>26</v>
      </c>
      <c r="B388" t="s">
        <v>59</v>
      </c>
      <c r="C388" t="s">
        <v>63</v>
      </c>
      <c r="D388" t="s">
        <v>64</v>
      </c>
      <c r="E388" s="2">
        <v>45717</v>
      </c>
      <c r="F388" s="3">
        <v>83</v>
      </c>
      <c r="G388">
        <v>63</v>
      </c>
      <c r="H388">
        <v>20</v>
      </c>
      <c r="I388">
        <v>200</v>
      </c>
      <c r="J388">
        <v>500</v>
      </c>
      <c r="K388">
        <f t="shared" si="60"/>
        <v>31500</v>
      </c>
      <c r="L388">
        <f t="shared" si="61"/>
        <v>12600</v>
      </c>
      <c r="M388">
        <f t="shared" si="62"/>
        <v>18900</v>
      </c>
      <c r="N388" s="4">
        <f t="shared" si="63"/>
        <v>0.6</v>
      </c>
      <c r="O388" t="str">
        <f t="shared" si="64"/>
        <v>Normal</v>
      </c>
      <c r="P388" t="str">
        <f t="shared" si="65"/>
        <v/>
      </c>
      <c r="Q388" t="str">
        <f t="shared" si="66"/>
        <v/>
      </c>
      <c r="S388">
        <f t="shared" si="67"/>
        <v>51.5</v>
      </c>
      <c r="T388" t="str">
        <f t="shared" si="68"/>
        <v>0-30 Days</v>
      </c>
      <c r="U388">
        <f t="shared" si="69"/>
        <v>4000</v>
      </c>
      <c r="V388">
        <f>tbl_inventory[[#This Row],[Units_Sold]]*tbl_inventory[[#This Row],[Revenue]]</f>
        <v>1984500</v>
      </c>
    </row>
    <row r="389" spans="1:22" x14ac:dyDescent="0.25">
      <c r="A389" s="2" t="s">
        <v>26</v>
      </c>
      <c r="B389" t="s">
        <v>59</v>
      </c>
      <c r="C389" t="s">
        <v>63</v>
      </c>
      <c r="D389" t="s">
        <v>64</v>
      </c>
      <c r="E389" s="2">
        <v>45748</v>
      </c>
      <c r="F389" s="3">
        <v>188</v>
      </c>
      <c r="G389">
        <v>155</v>
      </c>
      <c r="H389">
        <v>33</v>
      </c>
      <c r="I389">
        <v>200</v>
      </c>
      <c r="J389">
        <v>500</v>
      </c>
      <c r="K389">
        <f t="shared" si="60"/>
        <v>77500</v>
      </c>
      <c r="L389">
        <f t="shared" si="61"/>
        <v>31000</v>
      </c>
      <c r="M389">
        <f t="shared" si="62"/>
        <v>46500</v>
      </c>
      <c r="N389" s="4">
        <f t="shared" si="63"/>
        <v>0.6</v>
      </c>
      <c r="O389" t="str">
        <f t="shared" si="64"/>
        <v>Normal</v>
      </c>
      <c r="P389" t="str">
        <f t="shared" si="65"/>
        <v/>
      </c>
      <c r="Q389" t="str">
        <f t="shared" si="66"/>
        <v/>
      </c>
      <c r="S389">
        <f t="shared" si="67"/>
        <v>110.5</v>
      </c>
      <c r="T389" t="str">
        <f t="shared" si="68"/>
        <v>0-30 Days</v>
      </c>
      <c r="U389">
        <f t="shared" si="69"/>
        <v>6600</v>
      </c>
      <c r="V389">
        <f>tbl_inventory[[#This Row],[Units_Sold]]*tbl_inventory[[#This Row],[Revenue]]</f>
        <v>12012500</v>
      </c>
    </row>
    <row r="390" spans="1:22" x14ac:dyDescent="0.25">
      <c r="A390" s="2" t="s">
        <v>26</v>
      </c>
      <c r="B390" t="s">
        <v>59</v>
      </c>
      <c r="C390" t="s">
        <v>63</v>
      </c>
      <c r="D390" t="s">
        <v>64</v>
      </c>
      <c r="E390" s="2">
        <v>45778</v>
      </c>
      <c r="F390" s="3">
        <v>51</v>
      </c>
      <c r="G390">
        <v>28</v>
      </c>
      <c r="H390">
        <v>23</v>
      </c>
      <c r="I390">
        <v>200</v>
      </c>
      <c r="J390">
        <v>500</v>
      </c>
      <c r="K390">
        <f t="shared" si="60"/>
        <v>14000</v>
      </c>
      <c r="L390">
        <f t="shared" si="61"/>
        <v>5600</v>
      </c>
      <c r="M390">
        <f t="shared" si="62"/>
        <v>8400</v>
      </c>
      <c r="N390" s="4">
        <f t="shared" si="63"/>
        <v>0.6</v>
      </c>
      <c r="O390" t="str">
        <f t="shared" si="64"/>
        <v>Normal</v>
      </c>
      <c r="P390" t="str">
        <f t="shared" si="65"/>
        <v/>
      </c>
      <c r="Q390" t="str">
        <f t="shared" si="66"/>
        <v/>
      </c>
      <c r="S390">
        <f t="shared" si="67"/>
        <v>37</v>
      </c>
      <c r="T390" t="str">
        <f t="shared" si="68"/>
        <v>0-30 Days</v>
      </c>
      <c r="U390">
        <f t="shared" si="69"/>
        <v>4600</v>
      </c>
      <c r="V390">
        <f>tbl_inventory[[#This Row],[Units_Sold]]*tbl_inventory[[#This Row],[Revenue]]</f>
        <v>392000</v>
      </c>
    </row>
    <row r="391" spans="1:22" x14ac:dyDescent="0.25">
      <c r="A391" s="2" t="s">
        <v>26</v>
      </c>
      <c r="B391" t="s">
        <v>59</v>
      </c>
      <c r="C391" t="s">
        <v>63</v>
      </c>
      <c r="D391" t="s">
        <v>64</v>
      </c>
      <c r="E391" s="2">
        <v>45809</v>
      </c>
      <c r="F391" s="3">
        <v>109</v>
      </c>
      <c r="G391">
        <v>1</v>
      </c>
      <c r="H391">
        <v>108</v>
      </c>
      <c r="I391">
        <v>200</v>
      </c>
      <c r="J391">
        <v>500</v>
      </c>
      <c r="K391">
        <f t="shared" si="60"/>
        <v>500</v>
      </c>
      <c r="L391">
        <f t="shared" si="61"/>
        <v>200</v>
      </c>
      <c r="M391">
        <f t="shared" si="62"/>
        <v>300</v>
      </c>
      <c r="N391" s="4">
        <f t="shared" si="63"/>
        <v>0.6</v>
      </c>
      <c r="O391" t="str">
        <f t="shared" si="64"/>
        <v>Slow Moving</v>
      </c>
      <c r="P391" t="str">
        <f t="shared" si="65"/>
        <v/>
      </c>
      <c r="Q391" t="str">
        <f t="shared" si="66"/>
        <v/>
      </c>
      <c r="S391">
        <f t="shared" si="67"/>
        <v>108.5</v>
      </c>
      <c r="T391" t="str">
        <f t="shared" si="68"/>
        <v>60-90 Days</v>
      </c>
      <c r="U391">
        <f t="shared" si="69"/>
        <v>21600</v>
      </c>
      <c r="V391">
        <f>tbl_inventory[[#This Row],[Units_Sold]]*tbl_inventory[[#This Row],[Revenue]]</f>
        <v>500</v>
      </c>
    </row>
    <row r="392" spans="1:22" x14ac:dyDescent="0.25">
      <c r="A392" s="2" t="s">
        <v>26</v>
      </c>
      <c r="B392" t="s">
        <v>59</v>
      </c>
      <c r="C392" t="s">
        <v>63</v>
      </c>
      <c r="D392" t="s">
        <v>65</v>
      </c>
      <c r="E392" s="2">
        <v>45658</v>
      </c>
      <c r="F392" s="3">
        <v>159</v>
      </c>
      <c r="G392">
        <v>100</v>
      </c>
      <c r="H392">
        <v>59</v>
      </c>
      <c r="I392">
        <v>200</v>
      </c>
      <c r="J392">
        <v>500</v>
      </c>
      <c r="K392">
        <f t="shared" si="60"/>
        <v>50000</v>
      </c>
      <c r="L392">
        <f t="shared" si="61"/>
        <v>20000</v>
      </c>
      <c r="M392">
        <f t="shared" si="62"/>
        <v>30000</v>
      </c>
      <c r="N392" s="4">
        <f t="shared" si="63"/>
        <v>0.6</v>
      </c>
      <c r="O392" t="str">
        <f t="shared" si="64"/>
        <v>Normal</v>
      </c>
      <c r="P392" t="str">
        <f t="shared" si="65"/>
        <v/>
      </c>
      <c r="Q392" t="str">
        <f t="shared" si="66"/>
        <v/>
      </c>
      <c r="S392">
        <f t="shared" si="67"/>
        <v>109</v>
      </c>
      <c r="T392" t="str">
        <f t="shared" si="68"/>
        <v>30-60 Days</v>
      </c>
      <c r="U392">
        <f t="shared" si="69"/>
        <v>11800</v>
      </c>
      <c r="V392">
        <f>tbl_inventory[[#This Row],[Units_Sold]]*tbl_inventory[[#This Row],[Revenue]]</f>
        <v>5000000</v>
      </c>
    </row>
    <row r="393" spans="1:22" x14ac:dyDescent="0.25">
      <c r="A393" s="2" t="s">
        <v>26</v>
      </c>
      <c r="B393" t="s">
        <v>59</v>
      </c>
      <c r="C393" t="s">
        <v>63</v>
      </c>
      <c r="D393" t="s">
        <v>65</v>
      </c>
      <c r="E393" s="2">
        <v>45689</v>
      </c>
      <c r="F393" s="3">
        <v>114</v>
      </c>
      <c r="G393">
        <v>49</v>
      </c>
      <c r="H393">
        <v>65</v>
      </c>
      <c r="I393">
        <v>200</v>
      </c>
      <c r="J393">
        <v>500</v>
      </c>
      <c r="K393">
        <f t="shared" si="60"/>
        <v>24500</v>
      </c>
      <c r="L393">
        <f t="shared" si="61"/>
        <v>9800</v>
      </c>
      <c r="M393">
        <f t="shared" si="62"/>
        <v>14700</v>
      </c>
      <c r="N393" s="4">
        <f t="shared" si="63"/>
        <v>0.6</v>
      </c>
      <c r="O393" t="str">
        <f t="shared" si="64"/>
        <v>Normal</v>
      </c>
      <c r="P393" t="str">
        <f t="shared" si="65"/>
        <v/>
      </c>
      <c r="Q393" t="str">
        <f t="shared" si="66"/>
        <v/>
      </c>
      <c r="S393">
        <f t="shared" si="67"/>
        <v>89.5</v>
      </c>
      <c r="T393" t="str">
        <f t="shared" si="68"/>
        <v>30-60 Days</v>
      </c>
      <c r="U393">
        <f t="shared" si="69"/>
        <v>13000</v>
      </c>
      <c r="V393">
        <f>tbl_inventory[[#This Row],[Units_Sold]]*tbl_inventory[[#This Row],[Revenue]]</f>
        <v>1200500</v>
      </c>
    </row>
    <row r="394" spans="1:22" x14ac:dyDescent="0.25">
      <c r="A394" s="2" t="s">
        <v>26</v>
      </c>
      <c r="B394" t="s">
        <v>59</v>
      </c>
      <c r="C394" t="s">
        <v>63</v>
      </c>
      <c r="D394" t="s">
        <v>65</v>
      </c>
      <c r="E394" s="2">
        <v>45717</v>
      </c>
      <c r="F394" s="3">
        <v>154</v>
      </c>
      <c r="G394">
        <v>20</v>
      </c>
      <c r="H394">
        <v>134</v>
      </c>
      <c r="I394">
        <v>200</v>
      </c>
      <c r="J394">
        <v>500</v>
      </c>
      <c r="K394">
        <f t="shared" si="60"/>
        <v>10000</v>
      </c>
      <c r="L394">
        <f t="shared" si="61"/>
        <v>4000</v>
      </c>
      <c r="M394">
        <f t="shared" si="62"/>
        <v>6000</v>
      </c>
      <c r="N394" s="4">
        <f t="shared" si="63"/>
        <v>0.6</v>
      </c>
      <c r="O394" t="str">
        <f t="shared" si="64"/>
        <v>Normal</v>
      </c>
      <c r="P394" t="str">
        <f t="shared" si="65"/>
        <v/>
      </c>
      <c r="Q394" t="str">
        <f t="shared" si="66"/>
        <v/>
      </c>
      <c r="S394">
        <f t="shared" si="67"/>
        <v>144</v>
      </c>
      <c r="T394" t="str">
        <f t="shared" si="68"/>
        <v>60-90 Days</v>
      </c>
      <c r="U394">
        <f t="shared" si="69"/>
        <v>26800</v>
      </c>
      <c r="V394">
        <f>tbl_inventory[[#This Row],[Units_Sold]]*tbl_inventory[[#This Row],[Revenue]]</f>
        <v>200000</v>
      </c>
    </row>
    <row r="395" spans="1:22" x14ac:dyDescent="0.25">
      <c r="A395" s="2" t="s">
        <v>26</v>
      </c>
      <c r="B395" t="s">
        <v>59</v>
      </c>
      <c r="C395" t="s">
        <v>63</v>
      </c>
      <c r="D395" t="s">
        <v>65</v>
      </c>
      <c r="E395" s="2">
        <v>45748</v>
      </c>
      <c r="F395" s="3">
        <v>157</v>
      </c>
      <c r="G395">
        <v>74</v>
      </c>
      <c r="H395">
        <v>83</v>
      </c>
      <c r="I395">
        <v>200</v>
      </c>
      <c r="J395">
        <v>500</v>
      </c>
      <c r="K395">
        <f t="shared" si="60"/>
        <v>37000</v>
      </c>
      <c r="L395">
        <f t="shared" si="61"/>
        <v>14800</v>
      </c>
      <c r="M395">
        <f t="shared" si="62"/>
        <v>22200</v>
      </c>
      <c r="N395" s="4">
        <f t="shared" si="63"/>
        <v>0.6</v>
      </c>
      <c r="O395" t="str">
        <f t="shared" si="64"/>
        <v>Normal</v>
      </c>
      <c r="P395" t="str">
        <f t="shared" si="65"/>
        <v/>
      </c>
      <c r="Q395" t="str">
        <f t="shared" si="66"/>
        <v/>
      </c>
      <c r="S395">
        <f t="shared" si="67"/>
        <v>120</v>
      </c>
      <c r="T395" t="str">
        <f t="shared" si="68"/>
        <v>30-60 Days</v>
      </c>
      <c r="U395">
        <f t="shared" si="69"/>
        <v>16600</v>
      </c>
      <c r="V395">
        <f>tbl_inventory[[#This Row],[Units_Sold]]*tbl_inventory[[#This Row],[Revenue]]</f>
        <v>2738000</v>
      </c>
    </row>
    <row r="396" spans="1:22" x14ac:dyDescent="0.25">
      <c r="A396" s="2" t="s">
        <v>26</v>
      </c>
      <c r="B396" t="s">
        <v>59</v>
      </c>
      <c r="C396" t="s">
        <v>63</v>
      </c>
      <c r="D396" t="s">
        <v>65</v>
      </c>
      <c r="E396" s="2">
        <v>45778</v>
      </c>
      <c r="F396" s="3">
        <v>148</v>
      </c>
      <c r="G396">
        <v>10</v>
      </c>
      <c r="H396">
        <v>138</v>
      </c>
      <c r="I396">
        <v>200</v>
      </c>
      <c r="J396">
        <v>500</v>
      </c>
      <c r="K396">
        <f t="shared" si="60"/>
        <v>5000</v>
      </c>
      <c r="L396">
        <f t="shared" si="61"/>
        <v>2000</v>
      </c>
      <c r="M396">
        <f t="shared" si="62"/>
        <v>3000</v>
      </c>
      <c r="N396" s="4">
        <f t="shared" si="63"/>
        <v>0.6</v>
      </c>
      <c r="O396" t="str">
        <f t="shared" si="64"/>
        <v>Slow Moving</v>
      </c>
      <c r="P396" t="str">
        <f t="shared" si="65"/>
        <v/>
      </c>
      <c r="Q396" t="str">
        <f t="shared" si="66"/>
        <v/>
      </c>
      <c r="S396">
        <f t="shared" si="67"/>
        <v>143</v>
      </c>
      <c r="T396" t="str">
        <f t="shared" si="68"/>
        <v>60-90 Days</v>
      </c>
      <c r="U396">
        <f t="shared" si="69"/>
        <v>27600</v>
      </c>
      <c r="V396">
        <f>tbl_inventory[[#This Row],[Units_Sold]]*tbl_inventory[[#This Row],[Revenue]]</f>
        <v>50000</v>
      </c>
    </row>
    <row r="397" spans="1:22" x14ac:dyDescent="0.25">
      <c r="A397" s="2" t="s">
        <v>26</v>
      </c>
      <c r="B397" t="s">
        <v>59</v>
      </c>
      <c r="C397" t="s">
        <v>63</v>
      </c>
      <c r="D397" t="s">
        <v>65</v>
      </c>
      <c r="E397" s="2">
        <v>45809</v>
      </c>
      <c r="F397" s="3">
        <v>173</v>
      </c>
      <c r="G397">
        <v>135</v>
      </c>
      <c r="H397">
        <v>38</v>
      </c>
      <c r="I397">
        <v>200</v>
      </c>
      <c r="J397">
        <v>500</v>
      </c>
      <c r="K397">
        <f t="shared" si="60"/>
        <v>67500</v>
      </c>
      <c r="L397">
        <f t="shared" si="61"/>
        <v>27000</v>
      </c>
      <c r="M397">
        <f t="shared" si="62"/>
        <v>40500</v>
      </c>
      <c r="N397" s="4">
        <f t="shared" si="63"/>
        <v>0.6</v>
      </c>
      <c r="O397" t="str">
        <f t="shared" si="64"/>
        <v>Normal</v>
      </c>
      <c r="P397" t="str">
        <f t="shared" si="65"/>
        <v/>
      </c>
      <c r="Q397" t="str">
        <f t="shared" si="66"/>
        <v/>
      </c>
      <c r="S397">
        <f t="shared" si="67"/>
        <v>105.5</v>
      </c>
      <c r="T397" t="str">
        <f t="shared" si="68"/>
        <v>0-30 Days</v>
      </c>
      <c r="U397">
        <f t="shared" si="69"/>
        <v>7600</v>
      </c>
      <c r="V397">
        <f>tbl_inventory[[#This Row],[Units_Sold]]*tbl_inventory[[#This Row],[Revenue]]</f>
        <v>9112500</v>
      </c>
    </row>
    <row r="398" spans="1:22" x14ac:dyDescent="0.25">
      <c r="A398" s="2" t="s">
        <v>26</v>
      </c>
      <c r="B398" t="s">
        <v>59</v>
      </c>
      <c r="C398" t="s">
        <v>63</v>
      </c>
      <c r="D398" t="s">
        <v>66</v>
      </c>
      <c r="E398" s="2">
        <v>45658</v>
      </c>
      <c r="F398" s="3">
        <v>118</v>
      </c>
      <c r="G398">
        <v>19</v>
      </c>
      <c r="H398">
        <v>99</v>
      </c>
      <c r="I398">
        <v>200</v>
      </c>
      <c r="J398">
        <v>500</v>
      </c>
      <c r="K398">
        <f t="shared" si="60"/>
        <v>9500</v>
      </c>
      <c r="L398">
        <f t="shared" si="61"/>
        <v>3800</v>
      </c>
      <c r="M398">
        <f t="shared" si="62"/>
        <v>5700</v>
      </c>
      <c r="N398" s="4">
        <f t="shared" si="63"/>
        <v>0.6</v>
      </c>
      <c r="O398" t="str">
        <f t="shared" si="64"/>
        <v>Slow Moving</v>
      </c>
      <c r="P398" t="str">
        <f t="shared" si="65"/>
        <v/>
      </c>
      <c r="Q398" t="str">
        <f t="shared" si="66"/>
        <v/>
      </c>
      <c r="S398">
        <f t="shared" si="67"/>
        <v>108.5</v>
      </c>
      <c r="T398" t="str">
        <f t="shared" si="68"/>
        <v>30-60 Days</v>
      </c>
      <c r="U398">
        <f t="shared" si="69"/>
        <v>19800</v>
      </c>
      <c r="V398">
        <f>tbl_inventory[[#This Row],[Units_Sold]]*tbl_inventory[[#This Row],[Revenue]]</f>
        <v>180500</v>
      </c>
    </row>
    <row r="399" spans="1:22" x14ac:dyDescent="0.25">
      <c r="A399" s="2" t="s">
        <v>26</v>
      </c>
      <c r="B399" t="s">
        <v>59</v>
      </c>
      <c r="C399" t="s">
        <v>63</v>
      </c>
      <c r="D399" t="s">
        <v>66</v>
      </c>
      <c r="E399" s="2">
        <v>45689</v>
      </c>
      <c r="F399" s="3">
        <v>84</v>
      </c>
      <c r="G399">
        <v>62</v>
      </c>
      <c r="H399">
        <v>22</v>
      </c>
      <c r="I399">
        <v>200</v>
      </c>
      <c r="J399">
        <v>500</v>
      </c>
      <c r="K399">
        <f t="shared" si="60"/>
        <v>31000</v>
      </c>
      <c r="L399">
        <f t="shared" si="61"/>
        <v>12400</v>
      </c>
      <c r="M399">
        <f t="shared" si="62"/>
        <v>18600</v>
      </c>
      <c r="N399" s="4">
        <f t="shared" si="63"/>
        <v>0.6</v>
      </c>
      <c r="O399" t="str">
        <f t="shared" si="64"/>
        <v>Normal</v>
      </c>
      <c r="P399" t="str">
        <f t="shared" si="65"/>
        <v/>
      </c>
      <c r="Q399" t="str">
        <f t="shared" si="66"/>
        <v/>
      </c>
      <c r="S399">
        <f t="shared" si="67"/>
        <v>53</v>
      </c>
      <c r="T399" t="str">
        <f t="shared" si="68"/>
        <v>0-30 Days</v>
      </c>
      <c r="U399">
        <f t="shared" si="69"/>
        <v>4400</v>
      </c>
      <c r="V399">
        <f>tbl_inventory[[#This Row],[Units_Sold]]*tbl_inventory[[#This Row],[Revenue]]</f>
        <v>1922000</v>
      </c>
    </row>
    <row r="400" spans="1:22" x14ac:dyDescent="0.25">
      <c r="A400" s="2" t="s">
        <v>26</v>
      </c>
      <c r="B400" t="s">
        <v>59</v>
      </c>
      <c r="C400" t="s">
        <v>63</v>
      </c>
      <c r="D400" t="s">
        <v>66</v>
      </c>
      <c r="E400" s="2">
        <v>45717</v>
      </c>
      <c r="F400" s="3">
        <v>173</v>
      </c>
      <c r="G400">
        <v>41</v>
      </c>
      <c r="H400">
        <v>132</v>
      </c>
      <c r="I400">
        <v>200</v>
      </c>
      <c r="J400">
        <v>500</v>
      </c>
      <c r="K400">
        <f t="shared" si="60"/>
        <v>20500</v>
      </c>
      <c r="L400">
        <f t="shared" si="61"/>
        <v>8200</v>
      </c>
      <c r="M400">
        <f t="shared" si="62"/>
        <v>12300</v>
      </c>
      <c r="N400" s="4">
        <f t="shared" si="63"/>
        <v>0.6</v>
      </c>
      <c r="O400" t="str">
        <f t="shared" si="64"/>
        <v>Normal</v>
      </c>
      <c r="P400" t="str">
        <f t="shared" si="65"/>
        <v/>
      </c>
      <c r="Q400" t="str">
        <f t="shared" si="66"/>
        <v/>
      </c>
      <c r="S400">
        <f t="shared" si="67"/>
        <v>152.5</v>
      </c>
      <c r="T400" t="str">
        <f t="shared" si="68"/>
        <v>60-90 Days</v>
      </c>
      <c r="U400">
        <f t="shared" si="69"/>
        <v>26400</v>
      </c>
      <c r="V400">
        <f>tbl_inventory[[#This Row],[Units_Sold]]*tbl_inventory[[#This Row],[Revenue]]</f>
        <v>840500</v>
      </c>
    </row>
    <row r="401" spans="1:22" x14ac:dyDescent="0.25">
      <c r="A401" s="2" t="s">
        <v>26</v>
      </c>
      <c r="B401" t="s">
        <v>59</v>
      </c>
      <c r="C401" t="s">
        <v>63</v>
      </c>
      <c r="D401" t="s">
        <v>66</v>
      </c>
      <c r="E401" s="2">
        <v>45748</v>
      </c>
      <c r="F401" s="3">
        <v>88</v>
      </c>
      <c r="G401">
        <v>72</v>
      </c>
      <c r="H401">
        <v>16</v>
      </c>
      <c r="I401">
        <v>200</v>
      </c>
      <c r="J401">
        <v>500</v>
      </c>
      <c r="K401">
        <f t="shared" si="60"/>
        <v>36000</v>
      </c>
      <c r="L401">
        <f t="shared" si="61"/>
        <v>14400</v>
      </c>
      <c r="M401">
        <f t="shared" si="62"/>
        <v>21600</v>
      </c>
      <c r="N401" s="4">
        <f t="shared" si="63"/>
        <v>0.6</v>
      </c>
      <c r="O401" t="str">
        <f t="shared" si="64"/>
        <v>Normal</v>
      </c>
      <c r="P401" t="str">
        <f t="shared" si="65"/>
        <v/>
      </c>
      <c r="Q401" t="str">
        <f t="shared" si="66"/>
        <v/>
      </c>
      <c r="S401">
        <f t="shared" si="67"/>
        <v>52</v>
      </c>
      <c r="T401" t="str">
        <f t="shared" si="68"/>
        <v>0-30 Days</v>
      </c>
      <c r="U401">
        <f t="shared" si="69"/>
        <v>3200</v>
      </c>
      <c r="V401">
        <f>tbl_inventory[[#This Row],[Units_Sold]]*tbl_inventory[[#This Row],[Revenue]]</f>
        <v>2592000</v>
      </c>
    </row>
    <row r="402" spans="1:22" x14ac:dyDescent="0.25">
      <c r="A402" s="2" t="s">
        <v>26</v>
      </c>
      <c r="B402" t="s">
        <v>59</v>
      </c>
      <c r="C402" t="s">
        <v>63</v>
      </c>
      <c r="D402" t="s">
        <v>66</v>
      </c>
      <c r="E402" s="2">
        <v>45778</v>
      </c>
      <c r="F402" s="3">
        <v>114</v>
      </c>
      <c r="G402">
        <v>58</v>
      </c>
      <c r="H402">
        <v>56</v>
      </c>
      <c r="I402">
        <v>200</v>
      </c>
      <c r="J402">
        <v>500</v>
      </c>
      <c r="K402">
        <f t="shared" si="60"/>
        <v>29000</v>
      </c>
      <c r="L402">
        <f t="shared" si="61"/>
        <v>11600</v>
      </c>
      <c r="M402">
        <f t="shared" si="62"/>
        <v>17400</v>
      </c>
      <c r="N402" s="4">
        <f t="shared" si="63"/>
        <v>0.6</v>
      </c>
      <c r="O402" t="str">
        <f t="shared" si="64"/>
        <v>Normal</v>
      </c>
      <c r="P402" t="str">
        <f t="shared" si="65"/>
        <v/>
      </c>
      <c r="Q402" t="str">
        <f t="shared" si="66"/>
        <v/>
      </c>
      <c r="S402">
        <f t="shared" si="67"/>
        <v>85</v>
      </c>
      <c r="T402" t="str">
        <f t="shared" si="68"/>
        <v>30-60 Days</v>
      </c>
      <c r="U402">
        <f t="shared" si="69"/>
        <v>11200</v>
      </c>
      <c r="V402">
        <f>tbl_inventory[[#This Row],[Units_Sold]]*tbl_inventory[[#This Row],[Revenue]]</f>
        <v>1682000</v>
      </c>
    </row>
    <row r="403" spans="1:22" x14ac:dyDescent="0.25">
      <c r="A403" s="2" t="s">
        <v>26</v>
      </c>
      <c r="B403" t="s">
        <v>59</v>
      </c>
      <c r="C403" t="s">
        <v>63</v>
      </c>
      <c r="D403" t="s">
        <v>66</v>
      </c>
      <c r="E403" s="2">
        <v>45809</v>
      </c>
      <c r="F403" s="3">
        <v>102</v>
      </c>
      <c r="G403">
        <v>59</v>
      </c>
      <c r="H403">
        <v>43</v>
      </c>
      <c r="I403">
        <v>200</v>
      </c>
      <c r="J403">
        <v>500</v>
      </c>
      <c r="K403">
        <f t="shared" si="60"/>
        <v>29500</v>
      </c>
      <c r="L403">
        <f t="shared" si="61"/>
        <v>11800</v>
      </c>
      <c r="M403">
        <f t="shared" si="62"/>
        <v>17700</v>
      </c>
      <c r="N403" s="4">
        <f t="shared" si="63"/>
        <v>0.6</v>
      </c>
      <c r="O403" t="str">
        <f t="shared" si="64"/>
        <v>Normal</v>
      </c>
      <c r="P403" t="str">
        <f t="shared" si="65"/>
        <v/>
      </c>
      <c r="Q403" t="str">
        <f t="shared" si="66"/>
        <v/>
      </c>
      <c r="S403">
        <f t="shared" si="67"/>
        <v>72.5</v>
      </c>
      <c r="T403" t="str">
        <f t="shared" si="68"/>
        <v>0-30 Days</v>
      </c>
      <c r="U403">
        <f t="shared" si="69"/>
        <v>8600</v>
      </c>
      <c r="V403">
        <f>tbl_inventory[[#This Row],[Units_Sold]]*tbl_inventory[[#This Row],[Revenue]]</f>
        <v>1740500</v>
      </c>
    </row>
    <row r="404" spans="1:22" x14ac:dyDescent="0.25">
      <c r="A404" s="2" t="s">
        <v>26</v>
      </c>
      <c r="B404" t="s">
        <v>59</v>
      </c>
      <c r="C404" t="s">
        <v>63</v>
      </c>
      <c r="D404" t="s">
        <v>67</v>
      </c>
      <c r="E404" s="2">
        <v>45658</v>
      </c>
      <c r="F404" s="3">
        <v>57</v>
      </c>
      <c r="G404">
        <v>35</v>
      </c>
      <c r="H404">
        <v>22</v>
      </c>
      <c r="I404">
        <v>200</v>
      </c>
      <c r="J404">
        <v>500</v>
      </c>
      <c r="K404">
        <f t="shared" si="60"/>
        <v>17500</v>
      </c>
      <c r="L404">
        <f t="shared" si="61"/>
        <v>7000</v>
      </c>
      <c r="M404">
        <f t="shared" si="62"/>
        <v>10500</v>
      </c>
      <c r="N404" s="4">
        <f t="shared" si="63"/>
        <v>0.6</v>
      </c>
      <c r="O404" t="str">
        <f t="shared" si="64"/>
        <v>Normal</v>
      </c>
      <c r="P404" t="str">
        <f t="shared" si="65"/>
        <v/>
      </c>
      <c r="Q404" t="str">
        <f t="shared" si="66"/>
        <v/>
      </c>
      <c r="S404">
        <f t="shared" si="67"/>
        <v>39.5</v>
      </c>
      <c r="T404" t="str">
        <f t="shared" si="68"/>
        <v>0-30 Days</v>
      </c>
      <c r="U404">
        <f t="shared" si="69"/>
        <v>4400</v>
      </c>
      <c r="V404">
        <f>tbl_inventory[[#This Row],[Units_Sold]]*tbl_inventory[[#This Row],[Revenue]]</f>
        <v>612500</v>
      </c>
    </row>
    <row r="405" spans="1:22" x14ac:dyDescent="0.25">
      <c r="A405" s="2" t="s">
        <v>26</v>
      </c>
      <c r="B405" t="s">
        <v>59</v>
      </c>
      <c r="C405" t="s">
        <v>63</v>
      </c>
      <c r="D405" t="s">
        <v>67</v>
      </c>
      <c r="E405" s="2">
        <v>45689</v>
      </c>
      <c r="F405" s="3">
        <v>103</v>
      </c>
      <c r="G405">
        <v>94</v>
      </c>
      <c r="H405">
        <v>9</v>
      </c>
      <c r="I405">
        <v>200</v>
      </c>
      <c r="J405">
        <v>500</v>
      </c>
      <c r="K405">
        <f t="shared" si="60"/>
        <v>47000</v>
      </c>
      <c r="L405">
        <f t="shared" si="61"/>
        <v>18800</v>
      </c>
      <c r="M405">
        <f t="shared" si="62"/>
        <v>28200</v>
      </c>
      <c r="N405" s="4">
        <f t="shared" si="63"/>
        <v>0.6</v>
      </c>
      <c r="O405" t="str">
        <f t="shared" si="64"/>
        <v>Normal</v>
      </c>
      <c r="P405" t="str">
        <f t="shared" si="65"/>
        <v/>
      </c>
      <c r="Q405" t="str">
        <f t="shared" si="66"/>
        <v/>
      </c>
      <c r="S405">
        <f t="shared" si="67"/>
        <v>56</v>
      </c>
      <c r="T405" t="str">
        <f t="shared" si="68"/>
        <v>0-30 Days</v>
      </c>
      <c r="U405">
        <f t="shared" si="69"/>
        <v>1800</v>
      </c>
      <c r="V405">
        <f>tbl_inventory[[#This Row],[Units_Sold]]*tbl_inventory[[#This Row],[Revenue]]</f>
        <v>4418000</v>
      </c>
    </row>
    <row r="406" spans="1:22" x14ac:dyDescent="0.25">
      <c r="A406" s="2" t="s">
        <v>26</v>
      </c>
      <c r="B406" t="s">
        <v>59</v>
      </c>
      <c r="C406" t="s">
        <v>63</v>
      </c>
      <c r="D406" t="s">
        <v>67</v>
      </c>
      <c r="E406" s="2">
        <v>45717</v>
      </c>
      <c r="F406" s="3">
        <v>174</v>
      </c>
      <c r="G406">
        <v>55</v>
      </c>
      <c r="H406">
        <v>119</v>
      </c>
      <c r="I406">
        <v>200</v>
      </c>
      <c r="J406">
        <v>500</v>
      </c>
      <c r="K406">
        <f t="shared" si="60"/>
        <v>27500</v>
      </c>
      <c r="L406">
        <f t="shared" si="61"/>
        <v>11000</v>
      </c>
      <c r="M406">
        <f t="shared" si="62"/>
        <v>16500</v>
      </c>
      <c r="N406" s="4">
        <f t="shared" si="63"/>
        <v>0.6</v>
      </c>
      <c r="O406" t="str">
        <f t="shared" si="64"/>
        <v>Normal</v>
      </c>
      <c r="P406" t="str">
        <f t="shared" si="65"/>
        <v/>
      </c>
      <c r="Q406" t="str">
        <f t="shared" si="66"/>
        <v/>
      </c>
      <c r="S406">
        <f t="shared" si="67"/>
        <v>146.5</v>
      </c>
      <c r="T406" t="str">
        <f t="shared" si="68"/>
        <v>60-90 Days</v>
      </c>
      <c r="U406">
        <f t="shared" si="69"/>
        <v>23800</v>
      </c>
      <c r="V406">
        <f>tbl_inventory[[#This Row],[Units_Sold]]*tbl_inventory[[#This Row],[Revenue]]</f>
        <v>1512500</v>
      </c>
    </row>
    <row r="407" spans="1:22" x14ac:dyDescent="0.25">
      <c r="A407" s="2" t="s">
        <v>26</v>
      </c>
      <c r="B407" t="s">
        <v>59</v>
      </c>
      <c r="C407" t="s">
        <v>63</v>
      </c>
      <c r="D407" t="s">
        <v>67</v>
      </c>
      <c r="E407" s="2">
        <v>45748</v>
      </c>
      <c r="F407" s="3">
        <v>91</v>
      </c>
      <c r="G407">
        <v>67</v>
      </c>
      <c r="H407">
        <v>24</v>
      </c>
      <c r="I407">
        <v>200</v>
      </c>
      <c r="J407">
        <v>500</v>
      </c>
      <c r="K407">
        <f t="shared" si="60"/>
        <v>33500</v>
      </c>
      <c r="L407">
        <f t="shared" si="61"/>
        <v>13400</v>
      </c>
      <c r="M407">
        <f t="shared" si="62"/>
        <v>20100</v>
      </c>
      <c r="N407" s="4">
        <f t="shared" si="63"/>
        <v>0.6</v>
      </c>
      <c r="O407" t="str">
        <f t="shared" si="64"/>
        <v>Normal</v>
      </c>
      <c r="P407" t="str">
        <f t="shared" si="65"/>
        <v/>
      </c>
      <c r="Q407" t="str">
        <f t="shared" si="66"/>
        <v/>
      </c>
      <c r="S407">
        <f t="shared" si="67"/>
        <v>57.5</v>
      </c>
      <c r="T407" t="str">
        <f t="shared" si="68"/>
        <v>0-30 Days</v>
      </c>
      <c r="U407">
        <f t="shared" si="69"/>
        <v>4800</v>
      </c>
      <c r="V407">
        <f>tbl_inventory[[#This Row],[Units_Sold]]*tbl_inventory[[#This Row],[Revenue]]</f>
        <v>2244500</v>
      </c>
    </row>
    <row r="408" spans="1:22" x14ac:dyDescent="0.25">
      <c r="A408" s="2" t="s">
        <v>26</v>
      </c>
      <c r="B408" t="s">
        <v>59</v>
      </c>
      <c r="C408" t="s">
        <v>63</v>
      </c>
      <c r="D408" t="s">
        <v>67</v>
      </c>
      <c r="E408" s="2">
        <v>45778</v>
      </c>
      <c r="F408" s="3">
        <v>197</v>
      </c>
      <c r="G408">
        <v>179</v>
      </c>
      <c r="H408">
        <v>18</v>
      </c>
      <c r="I408">
        <v>200</v>
      </c>
      <c r="J408">
        <v>500</v>
      </c>
      <c r="K408">
        <f t="shared" si="60"/>
        <v>89500</v>
      </c>
      <c r="L408">
        <f t="shared" si="61"/>
        <v>35800</v>
      </c>
      <c r="M408">
        <f t="shared" si="62"/>
        <v>53700</v>
      </c>
      <c r="N408" s="4">
        <f t="shared" si="63"/>
        <v>0.6</v>
      </c>
      <c r="O408" t="str">
        <f t="shared" si="64"/>
        <v>Normal</v>
      </c>
      <c r="P408" t="str">
        <f t="shared" si="65"/>
        <v/>
      </c>
      <c r="Q408" t="str">
        <f t="shared" si="66"/>
        <v/>
      </c>
      <c r="S408">
        <f t="shared" si="67"/>
        <v>107.5</v>
      </c>
      <c r="T408" t="str">
        <f t="shared" si="68"/>
        <v>0-30 Days</v>
      </c>
      <c r="U408">
        <f t="shared" si="69"/>
        <v>3600</v>
      </c>
      <c r="V408">
        <f>tbl_inventory[[#This Row],[Units_Sold]]*tbl_inventory[[#This Row],[Revenue]]</f>
        <v>16020500</v>
      </c>
    </row>
    <row r="409" spans="1:22" x14ac:dyDescent="0.25">
      <c r="A409" s="2" t="s">
        <v>26</v>
      </c>
      <c r="B409" t="s">
        <v>59</v>
      </c>
      <c r="C409" t="s">
        <v>63</v>
      </c>
      <c r="D409" t="s">
        <v>67</v>
      </c>
      <c r="E409" s="2">
        <v>45809</v>
      </c>
      <c r="F409" s="3">
        <v>143</v>
      </c>
      <c r="G409">
        <v>110</v>
      </c>
      <c r="H409">
        <v>33</v>
      </c>
      <c r="I409">
        <v>200</v>
      </c>
      <c r="J409">
        <v>500</v>
      </c>
      <c r="K409">
        <f t="shared" si="60"/>
        <v>55000</v>
      </c>
      <c r="L409">
        <f t="shared" si="61"/>
        <v>22000</v>
      </c>
      <c r="M409">
        <f t="shared" si="62"/>
        <v>33000</v>
      </c>
      <c r="N409" s="4">
        <f t="shared" si="63"/>
        <v>0.6</v>
      </c>
      <c r="O409" t="str">
        <f t="shared" si="64"/>
        <v>Normal</v>
      </c>
      <c r="P409" t="str">
        <f t="shared" si="65"/>
        <v/>
      </c>
      <c r="Q409" t="str">
        <f t="shared" si="66"/>
        <v/>
      </c>
      <c r="S409">
        <f t="shared" si="67"/>
        <v>88</v>
      </c>
      <c r="T409" t="str">
        <f t="shared" si="68"/>
        <v>0-30 Days</v>
      </c>
      <c r="U409">
        <f t="shared" si="69"/>
        <v>6600</v>
      </c>
      <c r="V409">
        <f>tbl_inventory[[#This Row],[Units_Sold]]*tbl_inventory[[#This Row],[Revenue]]</f>
        <v>6050000</v>
      </c>
    </row>
    <row r="410" spans="1:22" x14ac:dyDescent="0.25">
      <c r="A410" s="2" t="s">
        <v>27</v>
      </c>
      <c r="B410" t="s">
        <v>60</v>
      </c>
      <c r="C410" t="s">
        <v>63</v>
      </c>
      <c r="D410" t="s">
        <v>64</v>
      </c>
      <c r="E410" s="2">
        <v>45658</v>
      </c>
      <c r="F410" s="3">
        <v>95</v>
      </c>
      <c r="G410">
        <v>69</v>
      </c>
      <c r="H410">
        <v>26</v>
      </c>
      <c r="I410">
        <v>300</v>
      </c>
      <c r="J410">
        <v>700</v>
      </c>
      <c r="K410">
        <f t="shared" si="60"/>
        <v>48300</v>
      </c>
      <c r="L410">
        <f t="shared" si="61"/>
        <v>20700</v>
      </c>
      <c r="M410">
        <f t="shared" si="62"/>
        <v>27600</v>
      </c>
      <c r="N410" s="4">
        <f t="shared" si="63"/>
        <v>0.5714285714285714</v>
      </c>
      <c r="O410" t="str">
        <f t="shared" si="64"/>
        <v>Normal</v>
      </c>
      <c r="P410" t="str">
        <f t="shared" si="65"/>
        <v/>
      </c>
      <c r="Q410" t="str">
        <f t="shared" si="66"/>
        <v/>
      </c>
      <c r="S410">
        <f t="shared" si="67"/>
        <v>60.5</v>
      </c>
      <c r="T410" t="str">
        <f t="shared" si="68"/>
        <v>0-30 Days</v>
      </c>
      <c r="U410">
        <f t="shared" si="69"/>
        <v>7800</v>
      </c>
      <c r="V410">
        <f>tbl_inventory[[#This Row],[Units_Sold]]*tbl_inventory[[#This Row],[Revenue]]</f>
        <v>3332700</v>
      </c>
    </row>
    <row r="411" spans="1:22" x14ac:dyDescent="0.25">
      <c r="A411" s="2" t="s">
        <v>27</v>
      </c>
      <c r="B411" t="s">
        <v>60</v>
      </c>
      <c r="C411" t="s">
        <v>63</v>
      </c>
      <c r="D411" t="s">
        <v>64</v>
      </c>
      <c r="E411" s="2">
        <v>45689</v>
      </c>
      <c r="F411" s="3">
        <v>177</v>
      </c>
      <c r="G411">
        <v>143</v>
      </c>
      <c r="H411">
        <v>34</v>
      </c>
      <c r="I411">
        <v>300</v>
      </c>
      <c r="J411">
        <v>700</v>
      </c>
      <c r="K411">
        <f t="shared" si="60"/>
        <v>100100</v>
      </c>
      <c r="L411">
        <f t="shared" si="61"/>
        <v>42900</v>
      </c>
      <c r="M411">
        <f t="shared" si="62"/>
        <v>57200</v>
      </c>
      <c r="N411" s="4">
        <f t="shared" si="63"/>
        <v>0.5714285714285714</v>
      </c>
      <c r="O411" t="str">
        <f t="shared" si="64"/>
        <v>Normal</v>
      </c>
      <c r="P411" t="str">
        <f t="shared" si="65"/>
        <v/>
      </c>
      <c r="Q411" t="str">
        <f t="shared" si="66"/>
        <v/>
      </c>
      <c r="S411">
        <f t="shared" si="67"/>
        <v>105.5</v>
      </c>
      <c r="T411" t="str">
        <f t="shared" si="68"/>
        <v>0-30 Days</v>
      </c>
      <c r="U411">
        <f t="shared" si="69"/>
        <v>10200</v>
      </c>
      <c r="V411">
        <f>tbl_inventory[[#This Row],[Units_Sold]]*tbl_inventory[[#This Row],[Revenue]]</f>
        <v>14314300</v>
      </c>
    </row>
    <row r="412" spans="1:22" x14ac:dyDescent="0.25">
      <c r="A412" s="2" t="s">
        <v>27</v>
      </c>
      <c r="B412" t="s">
        <v>60</v>
      </c>
      <c r="C412" t="s">
        <v>63</v>
      </c>
      <c r="D412" t="s">
        <v>64</v>
      </c>
      <c r="E412" s="2">
        <v>45717</v>
      </c>
      <c r="F412" s="3">
        <v>158</v>
      </c>
      <c r="G412">
        <v>100</v>
      </c>
      <c r="H412">
        <v>58</v>
      </c>
      <c r="I412">
        <v>300</v>
      </c>
      <c r="J412">
        <v>700</v>
      </c>
      <c r="K412">
        <f t="shared" si="60"/>
        <v>70000</v>
      </c>
      <c r="L412">
        <f t="shared" si="61"/>
        <v>30000</v>
      </c>
      <c r="M412">
        <f t="shared" si="62"/>
        <v>40000</v>
      </c>
      <c r="N412" s="4">
        <f t="shared" si="63"/>
        <v>0.5714285714285714</v>
      </c>
      <c r="O412" t="str">
        <f t="shared" si="64"/>
        <v>Normal</v>
      </c>
      <c r="P412" t="str">
        <f t="shared" si="65"/>
        <v/>
      </c>
      <c r="Q412" t="str">
        <f t="shared" si="66"/>
        <v/>
      </c>
      <c r="S412">
        <f t="shared" si="67"/>
        <v>108</v>
      </c>
      <c r="T412" t="str">
        <f t="shared" si="68"/>
        <v>30-60 Days</v>
      </c>
      <c r="U412">
        <f t="shared" si="69"/>
        <v>17400</v>
      </c>
      <c r="V412">
        <f>tbl_inventory[[#This Row],[Units_Sold]]*tbl_inventory[[#This Row],[Revenue]]</f>
        <v>7000000</v>
      </c>
    </row>
    <row r="413" spans="1:22" x14ac:dyDescent="0.25">
      <c r="A413" s="2" t="s">
        <v>27</v>
      </c>
      <c r="B413" t="s">
        <v>60</v>
      </c>
      <c r="C413" t="s">
        <v>63</v>
      </c>
      <c r="D413" t="s">
        <v>64</v>
      </c>
      <c r="E413" s="2">
        <v>45748</v>
      </c>
      <c r="F413" s="3">
        <v>82</v>
      </c>
      <c r="G413">
        <v>15</v>
      </c>
      <c r="H413">
        <v>67</v>
      </c>
      <c r="I413">
        <v>300</v>
      </c>
      <c r="J413">
        <v>700</v>
      </c>
      <c r="K413">
        <f t="shared" si="60"/>
        <v>10500</v>
      </c>
      <c r="L413">
        <f t="shared" si="61"/>
        <v>4500</v>
      </c>
      <c r="M413">
        <f t="shared" si="62"/>
        <v>6000</v>
      </c>
      <c r="N413" s="4">
        <f t="shared" si="63"/>
        <v>0.5714285714285714</v>
      </c>
      <c r="O413" t="str">
        <f t="shared" si="64"/>
        <v>Slow Moving</v>
      </c>
      <c r="P413" t="str">
        <f t="shared" si="65"/>
        <v/>
      </c>
      <c r="Q413" t="str">
        <f t="shared" si="66"/>
        <v/>
      </c>
      <c r="S413">
        <f t="shared" si="67"/>
        <v>74.5</v>
      </c>
      <c r="T413" t="str">
        <f t="shared" si="68"/>
        <v>30-60 Days</v>
      </c>
      <c r="U413">
        <f t="shared" si="69"/>
        <v>20100</v>
      </c>
      <c r="V413">
        <f>tbl_inventory[[#This Row],[Units_Sold]]*tbl_inventory[[#This Row],[Revenue]]</f>
        <v>157500</v>
      </c>
    </row>
    <row r="414" spans="1:22" x14ac:dyDescent="0.25">
      <c r="A414" s="2" t="s">
        <v>27</v>
      </c>
      <c r="B414" t="s">
        <v>60</v>
      </c>
      <c r="C414" t="s">
        <v>63</v>
      </c>
      <c r="D414" t="s">
        <v>64</v>
      </c>
      <c r="E414" s="2">
        <v>45778</v>
      </c>
      <c r="F414" s="3">
        <v>107</v>
      </c>
      <c r="G414">
        <v>4</v>
      </c>
      <c r="H414">
        <v>103</v>
      </c>
      <c r="I414">
        <v>300</v>
      </c>
      <c r="J414">
        <v>700</v>
      </c>
      <c r="K414">
        <f t="shared" si="60"/>
        <v>2800</v>
      </c>
      <c r="L414">
        <f t="shared" si="61"/>
        <v>1200</v>
      </c>
      <c r="M414">
        <f t="shared" si="62"/>
        <v>1600</v>
      </c>
      <c r="N414" s="4">
        <f t="shared" si="63"/>
        <v>0.5714285714285714</v>
      </c>
      <c r="O414" t="str">
        <f t="shared" si="64"/>
        <v>Slow Moving</v>
      </c>
      <c r="P414" t="str">
        <f t="shared" si="65"/>
        <v/>
      </c>
      <c r="Q414" t="str">
        <f t="shared" si="66"/>
        <v/>
      </c>
      <c r="S414">
        <f t="shared" si="67"/>
        <v>105</v>
      </c>
      <c r="T414" t="str">
        <f t="shared" si="68"/>
        <v>60-90 Days</v>
      </c>
      <c r="U414">
        <f t="shared" si="69"/>
        <v>30900</v>
      </c>
      <c r="V414">
        <f>tbl_inventory[[#This Row],[Units_Sold]]*tbl_inventory[[#This Row],[Revenue]]</f>
        <v>11200</v>
      </c>
    </row>
    <row r="415" spans="1:22" x14ac:dyDescent="0.25">
      <c r="A415" s="2" t="s">
        <v>27</v>
      </c>
      <c r="B415" t="s">
        <v>60</v>
      </c>
      <c r="C415" t="s">
        <v>63</v>
      </c>
      <c r="D415" t="s">
        <v>64</v>
      </c>
      <c r="E415" s="2">
        <v>45809</v>
      </c>
      <c r="F415" s="3">
        <v>175</v>
      </c>
      <c r="G415">
        <v>88</v>
      </c>
      <c r="H415">
        <v>87</v>
      </c>
      <c r="I415">
        <v>300</v>
      </c>
      <c r="J415">
        <v>700</v>
      </c>
      <c r="K415">
        <f t="shared" si="60"/>
        <v>61600</v>
      </c>
      <c r="L415">
        <f t="shared" si="61"/>
        <v>26400</v>
      </c>
      <c r="M415">
        <f t="shared" si="62"/>
        <v>35200</v>
      </c>
      <c r="N415" s="4">
        <f t="shared" si="63"/>
        <v>0.5714285714285714</v>
      </c>
      <c r="O415" t="str">
        <f t="shared" si="64"/>
        <v>Normal</v>
      </c>
      <c r="P415" t="str">
        <f t="shared" si="65"/>
        <v/>
      </c>
      <c r="Q415" t="str">
        <f t="shared" si="66"/>
        <v/>
      </c>
      <c r="S415">
        <f t="shared" si="67"/>
        <v>131</v>
      </c>
      <c r="T415" t="str">
        <f t="shared" si="68"/>
        <v>30-60 Days</v>
      </c>
      <c r="U415">
        <f t="shared" si="69"/>
        <v>26100</v>
      </c>
      <c r="V415">
        <f>tbl_inventory[[#This Row],[Units_Sold]]*tbl_inventory[[#This Row],[Revenue]]</f>
        <v>5420800</v>
      </c>
    </row>
    <row r="416" spans="1:22" x14ac:dyDescent="0.25">
      <c r="A416" s="2" t="s">
        <v>27</v>
      </c>
      <c r="B416" t="s">
        <v>60</v>
      </c>
      <c r="C416" t="s">
        <v>63</v>
      </c>
      <c r="D416" t="s">
        <v>65</v>
      </c>
      <c r="E416" s="2">
        <v>45658</v>
      </c>
      <c r="F416" s="3">
        <v>131</v>
      </c>
      <c r="G416">
        <v>125</v>
      </c>
      <c r="H416">
        <v>6</v>
      </c>
      <c r="I416">
        <v>300</v>
      </c>
      <c r="J416">
        <v>700</v>
      </c>
      <c r="K416">
        <f t="shared" si="60"/>
        <v>87500</v>
      </c>
      <c r="L416">
        <f t="shared" si="61"/>
        <v>37500</v>
      </c>
      <c r="M416">
        <f t="shared" si="62"/>
        <v>50000</v>
      </c>
      <c r="N416" s="4">
        <f t="shared" si="63"/>
        <v>0.5714285714285714</v>
      </c>
      <c r="O416" t="str">
        <f t="shared" si="64"/>
        <v>Normal</v>
      </c>
      <c r="P416" t="str">
        <f t="shared" si="65"/>
        <v/>
      </c>
      <c r="Q416" t="str">
        <f t="shared" si="66"/>
        <v/>
      </c>
      <c r="S416">
        <f t="shared" si="67"/>
        <v>68.5</v>
      </c>
      <c r="T416" t="str">
        <f t="shared" si="68"/>
        <v>0-30 Days</v>
      </c>
      <c r="U416">
        <f t="shared" si="69"/>
        <v>1800</v>
      </c>
      <c r="V416">
        <f>tbl_inventory[[#This Row],[Units_Sold]]*tbl_inventory[[#This Row],[Revenue]]</f>
        <v>10937500</v>
      </c>
    </row>
    <row r="417" spans="1:22" x14ac:dyDescent="0.25">
      <c r="A417" s="2" t="s">
        <v>27</v>
      </c>
      <c r="B417" t="s">
        <v>60</v>
      </c>
      <c r="C417" t="s">
        <v>63</v>
      </c>
      <c r="D417" t="s">
        <v>65</v>
      </c>
      <c r="E417" s="2">
        <v>45689</v>
      </c>
      <c r="F417" s="3">
        <v>169</v>
      </c>
      <c r="G417">
        <v>107</v>
      </c>
      <c r="H417">
        <v>62</v>
      </c>
      <c r="I417">
        <v>300</v>
      </c>
      <c r="J417">
        <v>700</v>
      </c>
      <c r="K417">
        <f t="shared" si="60"/>
        <v>74900</v>
      </c>
      <c r="L417">
        <f t="shared" si="61"/>
        <v>32100</v>
      </c>
      <c r="M417">
        <f t="shared" si="62"/>
        <v>42800</v>
      </c>
      <c r="N417" s="4">
        <f t="shared" si="63"/>
        <v>0.5714285714285714</v>
      </c>
      <c r="O417" t="str">
        <f t="shared" si="64"/>
        <v>Normal</v>
      </c>
      <c r="P417" t="str">
        <f t="shared" si="65"/>
        <v/>
      </c>
      <c r="Q417" t="str">
        <f t="shared" si="66"/>
        <v/>
      </c>
      <c r="S417">
        <f t="shared" si="67"/>
        <v>115.5</v>
      </c>
      <c r="T417" t="str">
        <f t="shared" si="68"/>
        <v>30-60 Days</v>
      </c>
      <c r="U417">
        <f t="shared" si="69"/>
        <v>18600</v>
      </c>
      <c r="V417">
        <f>tbl_inventory[[#This Row],[Units_Sold]]*tbl_inventory[[#This Row],[Revenue]]</f>
        <v>8014300</v>
      </c>
    </row>
    <row r="418" spans="1:22" x14ac:dyDescent="0.25">
      <c r="A418" s="2" t="s">
        <v>27</v>
      </c>
      <c r="B418" t="s">
        <v>60</v>
      </c>
      <c r="C418" t="s">
        <v>63</v>
      </c>
      <c r="D418" t="s">
        <v>65</v>
      </c>
      <c r="E418" s="2">
        <v>45717</v>
      </c>
      <c r="F418" s="3">
        <v>54</v>
      </c>
      <c r="G418">
        <v>14</v>
      </c>
      <c r="H418">
        <v>40</v>
      </c>
      <c r="I418">
        <v>300</v>
      </c>
      <c r="J418">
        <v>700</v>
      </c>
      <c r="K418">
        <f t="shared" si="60"/>
        <v>9800</v>
      </c>
      <c r="L418">
        <f t="shared" si="61"/>
        <v>4200</v>
      </c>
      <c r="M418">
        <f t="shared" si="62"/>
        <v>5600</v>
      </c>
      <c r="N418" s="4">
        <f t="shared" si="63"/>
        <v>0.5714285714285714</v>
      </c>
      <c r="O418" t="str">
        <f t="shared" si="64"/>
        <v>Slow Moving</v>
      </c>
      <c r="P418" t="str">
        <f t="shared" si="65"/>
        <v/>
      </c>
      <c r="Q418" t="str">
        <f t="shared" si="66"/>
        <v/>
      </c>
      <c r="S418">
        <f t="shared" si="67"/>
        <v>47</v>
      </c>
      <c r="T418" t="str">
        <f t="shared" si="68"/>
        <v>0-30 Days</v>
      </c>
      <c r="U418">
        <f t="shared" si="69"/>
        <v>12000</v>
      </c>
      <c r="V418">
        <f>tbl_inventory[[#This Row],[Units_Sold]]*tbl_inventory[[#This Row],[Revenue]]</f>
        <v>137200</v>
      </c>
    </row>
    <row r="419" spans="1:22" x14ac:dyDescent="0.25">
      <c r="A419" s="2" t="s">
        <v>27</v>
      </c>
      <c r="B419" t="s">
        <v>60</v>
      </c>
      <c r="C419" t="s">
        <v>63</v>
      </c>
      <c r="D419" t="s">
        <v>65</v>
      </c>
      <c r="E419" s="2">
        <v>45748</v>
      </c>
      <c r="F419" s="3">
        <v>73</v>
      </c>
      <c r="G419">
        <v>20</v>
      </c>
      <c r="H419">
        <v>53</v>
      </c>
      <c r="I419">
        <v>300</v>
      </c>
      <c r="J419">
        <v>700</v>
      </c>
      <c r="K419">
        <f t="shared" si="60"/>
        <v>14000</v>
      </c>
      <c r="L419">
        <f t="shared" si="61"/>
        <v>6000</v>
      </c>
      <c r="M419">
        <f t="shared" si="62"/>
        <v>8000</v>
      </c>
      <c r="N419" s="4">
        <f t="shared" si="63"/>
        <v>0.5714285714285714</v>
      </c>
      <c r="O419" t="str">
        <f t="shared" si="64"/>
        <v>Normal</v>
      </c>
      <c r="P419" t="str">
        <f t="shared" si="65"/>
        <v/>
      </c>
      <c r="Q419" t="str">
        <f t="shared" si="66"/>
        <v/>
      </c>
      <c r="S419">
        <f t="shared" si="67"/>
        <v>63</v>
      </c>
      <c r="T419" t="str">
        <f t="shared" si="68"/>
        <v>30-60 Days</v>
      </c>
      <c r="U419">
        <f t="shared" si="69"/>
        <v>15900</v>
      </c>
      <c r="V419">
        <f>tbl_inventory[[#This Row],[Units_Sold]]*tbl_inventory[[#This Row],[Revenue]]</f>
        <v>280000</v>
      </c>
    </row>
    <row r="420" spans="1:22" x14ac:dyDescent="0.25">
      <c r="A420" s="2" t="s">
        <v>27</v>
      </c>
      <c r="B420" t="s">
        <v>60</v>
      </c>
      <c r="C420" t="s">
        <v>63</v>
      </c>
      <c r="D420" t="s">
        <v>65</v>
      </c>
      <c r="E420" s="2">
        <v>45778</v>
      </c>
      <c r="F420" s="3">
        <v>71</v>
      </c>
      <c r="G420">
        <v>20</v>
      </c>
      <c r="H420">
        <v>51</v>
      </c>
      <c r="I420">
        <v>300</v>
      </c>
      <c r="J420">
        <v>700</v>
      </c>
      <c r="K420">
        <f t="shared" si="60"/>
        <v>14000</v>
      </c>
      <c r="L420">
        <f t="shared" si="61"/>
        <v>6000</v>
      </c>
      <c r="M420">
        <f t="shared" si="62"/>
        <v>8000</v>
      </c>
      <c r="N420" s="4">
        <f t="shared" si="63"/>
        <v>0.5714285714285714</v>
      </c>
      <c r="O420" t="str">
        <f t="shared" si="64"/>
        <v>Normal</v>
      </c>
      <c r="P420" t="str">
        <f t="shared" si="65"/>
        <v/>
      </c>
      <c r="Q420" t="str">
        <f t="shared" si="66"/>
        <v/>
      </c>
      <c r="S420">
        <f t="shared" si="67"/>
        <v>61</v>
      </c>
      <c r="T420" t="str">
        <f t="shared" si="68"/>
        <v>30-60 Days</v>
      </c>
      <c r="U420">
        <f t="shared" si="69"/>
        <v>15300</v>
      </c>
      <c r="V420">
        <f>tbl_inventory[[#This Row],[Units_Sold]]*tbl_inventory[[#This Row],[Revenue]]</f>
        <v>280000</v>
      </c>
    </row>
    <row r="421" spans="1:22" x14ac:dyDescent="0.25">
      <c r="A421" s="2" t="s">
        <v>27</v>
      </c>
      <c r="B421" t="s">
        <v>60</v>
      </c>
      <c r="C421" t="s">
        <v>63</v>
      </c>
      <c r="D421" t="s">
        <v>65</v>
      </c>
      <c r="E421" s="2">
        <v>45809</v>
      </c>
      <c r="F421" s="3">
        <v>192</v>
      </c>
      <c r="G421">
        <v>20</v>
      </c>
      <c r="H421">
        <v>172</v>
      </c>
      <c r="I421">
        <v>300</v>
      </c>
      <c r="J421">
        <v>700</v>
      </c>
      <c r="K421">
        <f t="shared" si="60"/>
        <v>14000</v>
      </c>
      <c r="L421">
        <f t="shared" si="61"/>
        <v>6000</v>
      </c>
      <c r="M421">
        <f t="shared" si="62"/>
        <v>8000</v>
      </c>
      <c r="N421" s="4">
        <f t="shared" si="63"/>
        <v>0.5714285714285714</v>
      </c>
      <c r="O421" t="str">
        <f t="shared" si="64"/>
        <v>Normal</v>
      </c>
      <c r="P421" t="str">
        <f t="shared" si="65"/>
        <v/>
      </c>
      <c r="Q421" t="str">
        <f t="shared" si="66"/>
        <v/>
      </c>
      <c r="S421">
        <f t="shared" si="67"/>
        <v>182</v>
      </c>
      <c r="T421" t="str">
        <f t="shared" si="68"/>
        <v>60-90 Days</v>
      </c>
      <c r="U421">
        <f t="shared" si="69"/>
        <v>51600</v>
      </c>
      <c r="V421">
        <f>tbl_inventory[[#This Row],[Units_Sold]]*tbl_inventory[[#This Row],[Revenue]]</f>
        <v>280000</v>
      </c>
    </row>
    <row r="422" spans="1:22" x14ac:dyDescent="0.25">
      <c r="A422" s="2" t="s">
        <v>27</v>
      </c>
      <c r="B422" t="s">
        <v>60</v>
      </c>
      <c r="C422" t="s">
        <v>63</v>
      </c>
      <c r="D422" t="s">
        <v>66</v>
      </c>
      <c r="E422" s="2">
        <v>45658</v>
      </c>
      <c r="F422" s="3">
        <v>168</v>
      </c>
      <c r="G422">
        <v>68</v>
      </c>
      <c r="H422">
        <v>100</v>
      </c>
      <c r="I422">
        <v>300</v>
      </c>
      <c r="J422">
        <v>700</v>
      </c>
      <c r="K422">
        <f t="shared" si="60"/>
        <v>47600</v>
      </c>
      <c r="L422">
        <f t="shared" si="61"/>
        <v>20400</v>
      </c>
      <c r="M422">
        <f t="shared" si="62"/>
        <v>27200</v>
      </c>
      <c r="N422" s="4">
        <f t="shared" si="63"/>
        <v>0.5714285714285714</v>
      </c>
      <c r="O422" t="str">
        <f t="shared" si="64"/>
        <v>Normal</v>
      </c>
      <c r="P422" t="str">
        <f t="shared" si="65"/>
        <v/>
      </c>
      <c r="Q422" t="str">
        <f t="shared" si="66"/>
        <v/>
      </c>
      <c r="S422">
        <f t="shared" si="67"/>
        <v>134</v>
      </c>
      <c r="T422" t="str">
        <f t="shared" si="68"/>
        <v>30-60 Days</v>
      </c>
      <c r="U422">
        <f t="shared" si="69"/>
        <v>30000</v>
      </c>
      <c r="V422">
        <f>tbl_inventory[[#This Row],[Units_Sold]]*tbl_inventory[[#This Row],[Revenue]]</f>
        <v>3236800</v>
      </c>
    </row>
    <row r="423" spans="1:22" x14ac:dyDescent="0.25">
      <c r="A423" s="2" t="s">
        <v>27</v>
      </c>
      <c r="B423" t="s">
        <v>60</v>
      </c>
      <c r="C423" t="s">
        <v>63</v>
      </c>
      <c r="D423" t="s">
        <v>66</v>
      </c>
      <c r="E423" s="2">
        <v>45689</v>
      </c>
      <c r="F423" s="3">
        <v>187</v>
      </c>
      <c r="G423">
        <v>87</v>
      </c>
      <c r="H423">
        <v>100</v>
      </c>
      <c r="I423">
        <v>300</v>
      </c>
      <c r="J423">
        <v>700</v>
      </c>
      <c r="K423">
        <f t="shared" si="60"/>
        <v>60900</v>
      </c>
      <c r="L423">
        <f t="shared" si="61"/>
        <v>26100</v>
      </c>
      <c r="M423">
        <f t="shared" si="62"/>
        <v>34800</v>
      </c>
      <c r="N423" s="4">
        <f t="shared" si="63"/>
        <v>0.5714285714285714</v>
      </c>
      <c r="O423" t="str">
        <f t="shared" si="64"/>
        <v>Normal</v>
      </c>
      <c r="P423" t="str">
        <f t="shared" si="65"/>
        <v/>
      </c>
      <c r="Q423" t="str">
        <f t="shared" si="66"/>
        <v/>
      </c>
      <c r="S423">
        <f t="shared" si="67"/>
        <v>143.5</v>
      </c>
      <c r="T423" t="str">
        <f t="shared" si="68"/>
        <v>30-60 Days</v>
      </c>
      <c r="U423">
        <f t="shared" si="69"/>
        <v>30000</v>
      </c>
      <c r="V423">
        <f>tbl_inventory[[#This Row],[Units_Sold]]*tbl_inventory[[#This Row],[Revenue]]</f>
        <v>5298300</v>
      </c>
    </row>
    <row r="424" spans="1:22" x14ac:dyDescent="0.25">
      <c r="A424" s="2" t="s">
        <v>27</v>
      </c>
      <c r="B424" t="s">
        <v>60</v>
      </c>
      <c r="C424" t="s">
        <v>63</v>
      </c>
      <c r="D424" t="s">
        <v>66</v>
      </c>
      <c r="E424" s="2">
        <v>45717</v>
      </c>
      <c r="F424" s="3">
        <v>173</v>
      </c>
      <c r="G424">
        <v>171</v>
      </c>
      <c r="H424">
        <v>2</v>
      </c>
      <c r="I424">
        <v>300</v>
      </c>
      <c r="J424">
        <v>700</v>
      </c>
      <c r="K424">
        <f t="shared" si="60"/>
        <v>119700</v>
      </c>
      <c r="L424">
        <f t="shared" si="61"/>
        <v>51300</v>
      </c>
      <c r="M424">
        <f t="shared" si="62"/>
        <v>68400</v>
      </c>
      <c r="N424" s="4">
        <f t="shared" si="63"/>
        <v>0.5714285714285714</v>
      </c>
      <c r="O424" t="str">
        <f t="shared" si="64"/>
        <v>Normal</v>
      </c>
      <c r="P424" t="str">
        <f t="shared" si="65"/>
        <v/>
      </c>
      <c r="Q424" t="str">
        <f t="shared" si="66"/>
        <v/>
      </c>
      <c r="S424">
        <f t="shared" si="67"/>
        <v>87.5</v>
      </c>
      <c r="T424" t="str">
        <f t="shared" si="68"/>
        <v>0-30 Days</v>
      </c>
      <c r="U424">
        <f t="shared" si="69"/>
        <v>600</v>
      </c>
      <c r="V424">
        <f>tbl_inventory[[#This Row],[Units_Sold]]*tbl_inventory[[#This Row],[Revenue]]</f>
        <v>20468700</v>
      </c>
    </row>
    <row r="425" spans="1:22" x14ac:dyDescent="0.25">
      <c r="A425" s="2" t="s">
        <v>27</v>
      </c>
      <c r="B425" t="s">
        <v>60</v>
      </c>
      <c r="C425" t="s">
        <v>63</v>
      </c>
      <c r="D425" t="s">
        <v>66</v>
      </c>
      <c r="E425" s="2">
        <v>45748</v>
      </c>
      <c r="F425" s="3">
        <v>194</v>
      </c>
      <c r="G425">
        <v>9</v>
      </c>
      <c r="H425">
        <v>185</v>
      </c>
      <c r="I425">
        <v>300</v>
      </c>
      <c r="J425">
        <v>700</v>
      </c>
      <c r="K425">
        <f t="shared" si="60"/>
        <v>6300</v>
      </c>
      <c r="L425">
        <f t="shared" si="61"/>
        <v>2700</v>
      </c>
      <c r="M425">
        <f t="shared" si="62"/>
        <v>3600</v>
      </c>
      <c r="N425" s="4">
        <f t="shared" si="63"/>
        <v>0.5714285714285714</v>
      </c>
      <c r="O425" t="str">
        <f t="shared" si="64"/>
        <v>Slow Moving</v>
      </c>
      <c r="P425" t="str">
        <f t="shared" si="65"/>
        <v/>
      </c>
      <c r="Q425" t="str">
        <f t="shared" si="66"/>
        <v/>
      </c>
      <c r="S425">
        <f t="shared" si="67"/>
        <v>189.5</v>
      </c>
      <c r="T425" t="str">
        <f t="shared" si="68"/>
        <v>60-90 Days</v>
      </c>
      <c r="U425">
        <f t="shared" si="69"/>
        <v>55500</v>
      </c>
      <c r="V425">
        <f>tbl_inventory[[#This Row],[Units_Sold]]*tbl_inventory[[#This Row],[Revenue]]</f>
        <v>56700</v>
      </c>
    </row>
    <row r="426" spans="1:22" x14ac:dyDescent="0.25">
      <c r="A426" s="2" t="s">
        <v>27</v>
      </c>
      <c r="B426" t="s">
        <v>60</v>
      </c>
      <c r="C426" t="s">
        <v>63</v>
      </c>
      <c r="D426" t="s">
        <v>66</v>
      </c>
      <c r="E426" s="2">
        <v>45778</v>
      </c>
      <c r="F426" s="3">
        <v>67</v>
      </c>
      <c r="G426">
        <v>59</v>
      </c>
      <c r="H426">
        <v>8</v>
      </c>
      <c r="I426">
        <v>300</v>
      </c>
      <c r="J426">
        <v>700</v>
      </c>
      <c r="K426">
        <f t="shared" si="60"/>
        <v>41300</v>
      </c>
      <c r="L426">
        <f t="shared" si="61"/>
        <v>17700</v>
      </c>
      <c r="M426">
        <f t="shared" si="62"/>
        <v>23600</v>
      </c>
      <c r="N426" s="4">
        <f t="shared" si="63"/>
        <v>0.5714285714285714</v>
      </c>
      <c r="O426" t="str">
        <f t="shared" si="64"/>
        <v>Normal</v>
      </c>
      <c r="P426" t="str">
        <f t="shared" si="65"/>
        <v/>
      </c>
      <c r="Q426" t="str">
        <f t="shared" si="66"/>
        <v/>
      </c>
      <c r="S426">
        <f t="shared" si="67"/>
        <v>37.5</v>
      </c>
      <c r="T426" t="str">
        <f t="shared" si="68"/>
        <v>0-30 Days</v>
      </c>
      <c r="U426">
        <f t="shared" si="69"/>
        <v>2400</v>
      </c>
      <c r="V426">
        <f>tbl_inventory[[#This Row],[Units_Sold]]*tbl_inventory[[#This Row],[Revenue]]</f>
        <v>2436700</v>
      </c>
    </row>
    <row r="427" spans="1:22" x14ac:dyDescent="0.25">
      <c r="A427" s="2" t="s">
        <v>27</v>
      </c>
      <c r="B427" t="s">
        <v>60</v>
      </c>
      <c r="C427" t="s">
        <v>63</v>
      </c>
      <c r="D427" t="s">
        <v>66</v>
      </c>
      <c r="E427" s="2">
        <v>45809</v>
      </c>
      <c r="F427" s="3">
        <v>136</v>
      </c>
      <c r="G427">
        <v>63</v>
      </c>
      <c r="H427">
        <v>73</v>
      </c>
      <c r="I427">
        <v>300</v>
      </c>
      <c r="J427">
        <v>700</v>
      </c>
      <c r="K427">
        <f t="shared" si="60"/>
        <v>44100</v>
      </c>
      <c r="L427">
        <f t="shared" si="61"/>
        <v>18900</v>
      </c>
      <c r="M427">
        <f t="shared" si="62"/>
        <v>25200</v>
      </c>
      <c r="N427" s="4">
        <f t="shared" si="63"/>
        <v>0.5714285714285714</v>
      </c>
      <c r="O427" t="str">
        <f t="shared" si="64"/>
        <v>Normal</v>
      </c>
      <c r="P427" t="str">
        <f t="shared" si="65"/>
        <v/>
      </c>
      <c r="Q427" t="str">
        <f t="shared" si="66"/>
        <v/>
      </c>
      <c r="S427">
        <f t="shared" si="67"/>
        <v>104.5</v>
      </c>
      <c r="T427" t="str">
        <f t="shared" si="68"/>
        <v>30-60 Days</v>
      </c>
      <c r="U427">
        <f t="shared" si="69"/>
        <v>21900</v>
      </c>
      <c r="V427">
        <f>tbl_inventory[[#This Row],[Units_Sold]]*tbl_inventory[[#This Row],[Revenue]]</f>
        <v>2778300</v>
      </c>
    </row>
    <row r="428" spans="1:22" x14ac:dyDescent="0.25">
      <c r="A428" s="2" t="s">
        <v>27</v>
      </c>
      <c r="B428" t="s">
        <v>60</v>
      </c>
      <c r="C428" t="s">
        <v>63</v>
      </c>
      <c r="D428" t="s">
        <v>67</v>
      </c>
      <c r="E428" s="2">
        <v>45658</v>
      </c>
      <c r="F428" s="3">
        <v>170</v>
      </c>
      <c r="G428">
        <v>48</v>
      </c>
      <c r="H428">
        <v>122</v>
      </c>
      <c r="I428">
        <v>300</v>
      </c>
      <c r="J428">
        <v>700</v>
      </c>
      <c r="K428">
        <f t="shared" si="60"/>
        <v>33600</v>
      </c>
      <c r="L428">
        <f t="shared" si="61"/>
        <v>14400</v>
      </c>
      <c r="M428">
        <f t="shared" si="62"/>
        <v>19200</v>
      </c>
      <c r="N428" s="4">
        <f t="shared" si="63"/>
        <v>0.5714285714285714</v>
      </c>
      <c r="O428" t="str">
        <f t="shared" si="64"/>
        <v>Normal</v>
      </c>
      <c r="P428" t="str">
        <f t="shared" si="65"/>
        <v/>
      </c>
      <c r="Q428" t="str">
        <f t="shared" si="66"/>
        <v/>
      </c>
      <c r="S428">
        <f t="shared" si="67"/>
        <v>146</v>
      </c>
      <c r="T428" t="str">
        <f t="shared" si="68"/>
        <v>60-90 Days</v>
      </c>
      <c r="U428">
        <f t="shared" si="69"/>
        <v>36600</v>
      </c>
      <c r="V428">
        <f>tbl_inventory[[#This Row],[Units_Sold]]*tbl_inventory[[#This Row],[Revenue]]</f>
        <v>1612800</v>
      </c>
    </row>
    <row r="429" spans="1:22" x14ac:dyDescent="0.25">
      <c r="A429" s="2" t="s">
        <v>27</v>
      </c>
      <c r="B429" t="s">
        <v>60</v>
      </c>
      <c r="C429" t="s">
        <v>63</v>
      </c>
      <c r="D429" t="s">
        <v>67</v>
      </c>
      <c r="E429" s="2">
        <v>45689</v>
      </c>
      <c r="F429" s="3">
        <v>172</v>
      </c>
      <c r="G429">
        <v>50</v>
      </c>
      <c r="H429">
        <v>122</v>
      </c>
      <c r="I429">
        <v>300</v>
      </c>
      <c r="J429">
        <v>700</v>
      </c>
      <c r="K429">
        <f t="shared" si="60"/>
        <v>35000</v>
      </c>
      <c r="L429">
        <f t="shared" si="61"/>
        <v>15000</v>
      </c>
      <c r="M429">
        <f t="shared" si="62"/>
        <v>20000</v>
      </c>
      <c r="N429" s="4">
        <f t="shared" si="63"/>
        <v>0.5714285714285714</v>
      </c>
      <c r="O429" t="str">
        <f t="shared" si="64"/>
        <v>Normal</v>
      </c>
      <c r="P429" t="str">
        <f t="shared" si="65"/>
        <v/>
      </c>
      <c r="Q429" t="str">
        <f t="shared" si="66"/>
        <v/>
      </c>
      <c r="S429">
        <f t="shared" si="67"/>
        <v>147</v>
      </c>
      <c r="T429" t="str">
        <f t="shared" si="68"/>
        <v>60-90 Days</v>
      </c>
      <c r="U429">
        <f t="shared" si="69"/>
        <v>36600</v>
      </c>
      <c r="V429">
        <f>tbl_inventory[[#This Row],[Units_Sold]]*tbl_inventory[[#This Row],[Revenue]]</f>
        <v>1750000</v>
      </c>
    </row>
    <row r="430" spans="1:22" x14ac:dyDescent="0.25">
      <c r="A430" s="2" t="s">
        <v>27</v>
      </c>
      <c r="B430" t="s">
        <v>60</v>
      </c>
      <c r="C430" t="s">
        <v>63</v>
      </c>
      <c r="D430" t="s">
        <v>67</v>
      </c>
      <c r="E430" s="2">
        <v>45717</v>
      </c>
      <c r="F430" s="3">
        <v>81</v>
      </c>
      <c r="G430">
        <v>38</v>
      </c>
      <c r="H430">
        <v>43</v>
      </c>
      <c r="I430">
        <v>300</v>
      </c>
      <c r="J430">
        <v>700</v>
      </c>
      <c r="K430">
        <f t="shared" si="60"/>
        <v>26600</v>
      </c>
      <c r="L430">
        <f t="shared" si="61"/>
        <v>11400</v>
      </c>
      <c r="M430">
        <f t="shared" si="62"/>
        <v>15200</v>
      </c>
      <c r="N430" s="4">
        <f t="shared" si="63"/>
        <v>0.5714285714285714</v>
      </c>
      <c r="O430" t="str">
        <f t="shared" si="64"/>
        <v>Normal</v>
      </c>
      <c r="P430" t="str">
        <f t="shared" si="65"/>
        <v/>
      </c>
      <c r="Q430" t="str">
        <f t="shared" si="66"/>
        <v/>
      </c>
      <c r="S430">
        <f t="shared" si="67"/>
        <v>62</v>
      </c>
      <c r="T430" t="str">
        <f t="shared" si="68"/>
        <v>0-30 Days</v>
      </c>
      <c r="U430">
        <f t="shared" si="69"/>
        <v>12900</v>
      </c>
      <c r="V430">
        <f>tbl_inventory[[#This Row],[Units_Sold]]*tbl_inventory[[#This Row],[Revenue]]</f>
        <v>1010800</v>
      </c>
    </row>
    <row r="431" spans="1:22" x14ac:dyDescent="0.25">
      <c r="A431" s="2" t="s">
        <v>27</v>
      </c>
      <c r="B431" t="s">
        <v>60</v>
      </c>
      <c r="C431" t="s">
        <v>63</v>
      </c>
      <c r="D431" t="s">
        <v>67</v>
      </c>
      <c r="E431" s="2">
        <v>45748</v>
      </c>
      <c r="F431" s="3">
        <v>116</v>
      </c>
      <c r="G431">
        <v>61</v>
      </c>
      <c r="H431">
        <v>55</v>
      </c>
      <c r="I431">
        <v>300</v>
      </c>
      <c r="J431">
        <v>700</v>
      </c>
      <c r="K431">
        <f t="shared" si="60"/>
        <v>42700</v>
      </c>
      <c r="L431">
        <f t="shared" si="61"/>
        <v>18300</v>
      </c>
      <c r="M431">
        <f t="shared" si="62"/>
        <v>24400</v>
      </c>
      <c r="N431" s="4">
        <f t="shared" si="63"/>
        <v>0.5714285714285714</v>
      </c>
      <c r="O431" t="str">
        <f t="shared" si="64"/>
        <v>Normal</v>
      </c>
      <c r="P431" t="str">
        <f t="shared" si="65"/>
        <v/>
      </c>
      <c r="Q431" t="str">
        <f t="shared" si="66"/>
        <v/>
      </c>
      <c r="S431">
        <f t="shared" si="67"/>
        <v>85.5</v>
      </c>
      <c r="T431" t="str">
        <f t="shared" si="68"/>
        <v>30-60 Days</v>
      </c>
      <c r="U431">
        <f t="shared" si="69"/>
        <v>16500</v>
      </c>
      <c r="V431">
        <f>tbl_inventory[[#This Row],[Units_Sold]]*tbl_inventory[[#This Row],[Revenue]]</f>
        <v>2604700</v>
      </c>
    </row>
    <row r="432" spans="1:22" x14ac:dyDescent="0.25">
      <c r="A432" s="2" t="s">
        <v>27</v>
      </c>
      <c r="B432" t="s">
        <v>60</v>
      </c>
      <c r="C432" t="s">
        <v>63</v>
      </c>
      <c r="D432" t="s">
        <v>67</v>
      </c>
      <c r="E432" s="2">
        <v>45778</v>
      </c>
      <c r="F432" s="3">
        <v>149</v>
      </c>
      <c r="G432">
        <v>97</v>
      </c>
      <c r="H432">
        <v>52</v>
      </c>
      <c r="I432">
        <v>300</v>
      </c>
      <c r="J432">
        <v>700</v>
      </c>
      <c r="K432">
        <f t="shared" si="60"/>
        <v>67900</v>
      </c>
      <c r="L432">
        <f t="shared" si="61"/>
        <v>29100</v>
      </c>
      <c r="M432">
        <f t="shared" si="62"/>
        <v>38800</v>
      </c>
      <c r="N432" s="4">
        <f t="shared" si="63"/>
        <v>0.5714285714285714</v>
      </c>
      <c r="O432" t="str">
        <f t="shared" si="64"/>
        <v>Normal</v>
      </c>
      <c r="P432" t="str">
        <f t="shared" si="65"/>
        <v/>
      </c>
      <c r="Q432" t="str">
        <f t="shared" si="66"/>
        <v/>
      </c>
      <c r="S432">
        <f t="shared" si="67"/>
        <v>100.5</v>
      </c>
      <c r="T432" t="str">
        <f t="shared" si="68"/>
        <v>30-60 Days</v>
      </c>
      <c r="U432">
        <f t="shared" si="69"/>
        <v>15600</v>
      </c>
      <c r="V432">
        <f>tbl_inventory[[#This Row],[Units_Sold]]*tbl_inventory[[#This Row],[Revenue]]</f>
        <v>6586300</v>
      </c>
    </row>
    <row r="433" spans="1:22" x14ac:dyDescent="0.25">
      <c r="A433" s="2" t="s">
        <v>27</v>
      </c>
      <c r="B433" t="s">
        <v>60</v>
      </c>
      <c r="C433" t="s">
        <v>63</v>
      </c>
      <c r="D433" t="s">
        <v>67</v>
      </c>
      <c r="E433" s="2">
        <v>45809</v>
      </c>
      <c r="F433" s="3">
        <v>149</v>
      </c>
      <c r="G433">
        <v>83</v>
      </c>
      <c r="H433">
        <v>66</v>
      </c>
      <c r="I433">
        <v>300</v>
      </c>
      <c r="J433">
        <v>700</v>
      </c>
      <c r="K433">
        <f t="shared" si="60"/>
        <v>58100</v>
      </c>
      <c r="L433">
        <f t="shared" si="61"/>
        <v>24900</v>
      </c>
      <c r="M433">
        <f t="shared" si="62"/>
        <v>33200</v>
      </c>
      <c r="N433" s="4">
        <f t="shared" si="63"/>
        <v>0.5714285714285714</v>
      </c>
      <c r="O433" t="str">
        <f t="shared" si="64"/>
        <v>Normal</v>
      </c>
      <c r="P433" t="str">
        <f t="shared" si="65"/>
        <v/>
      </c>
      <c r="Q433" t="str">
        <f t="shared" si="66"/>
        <v/>
      </c>
      <c r="S433">
        <f t="shared" si="67"/>
        <v>107.5</v>
      </c>
      <c r="T433" t="str">
        <f t="shared" si="68"/>
        <v>30-60 Days</v>
      </c>
      <c r="U433">
        <f t="shared" si="69"/>
        <v>19800</v>
      </c>
      <c r="V433">
        <f>tbl_inventory[[#This Row],[Units_Sold]]*tbl_inventory[[#This Row],[Revenue]]</f>
        <v>4822300</v>
      </c>
    </row>
    <row r="434" spans="1:22" x14ac:dyDescent="0.25">
      <c r="A434" s="2" t="s">
        <v>28</v>
      </c>
      <c r="B434" t="s">
        <v>61</v>
      </c>
      <c r="C434" t="s">
        <v>63</v>
      </c>
      <c r="D434" t="s">
        <v>64</v>
      </c>
      <c r="E434" s="2">
        <v>45658</v>
      </c>
      <c r="F434" s="3">
        <v>180</v>
      </c>
      <c r="G434">
        <v>176</v>
      </c>
      <c r="H434">
        <v>4</v>
      </c>
      <c r="I434">
        <v>2000</v>
      </c>
      <c r="J434">
        <v>4000</v>
      </c>
      <c r="K434">
        <f t="shared" si="60"/>
        <v>704000</v>
      </c>
      <c r="L434">
        <f t="shared" si="61"/>
        <v>352000</v>
      </c>
      <c r="M434">
        <f t="shared" si="62"/>
        <v>352000</v>
      </c>
      <c r="N434" s="4">
        <f t="shared" si="63"/>
        <v>0.5</v>
      </c>
      <c r="O434" t="str">
        <f t="shared" si="64"/>
        <v>Normal</v>
      </c>
      <c r="P434" t="str">
        <f t="shared" si="65"/>
        <v/>
      </c>
      <c r="Q434" t="str">
        <f t="shared" si="66"/>
        <v/>
      </c>
      <c r="S434">
        <f t="shared" si="67"/>
        <v>92</v>
      </c>
      <c r="T434" t="str">
        <f t="shared" si="68"/>
        <v>0-30 Days</v>
      </c>
      <c r="U434">
        <f t="shared" si="69"/>
        <v>8000</v>
      </c>
      <c r="V434">
        <f>tbl_inventory[[#This Row],[Units_Sold]]*tbl_inventory[[#This Row],[Revenue]]</f>
        <v>123904000</v>
      </c>
    </row>
    <row r="435" spans="1:22" x14ac:dyDescent="0.25">
      <c r="A435" s="2" t="s">
        <v>28</v>
      </c>
      <c r="B435" t="s">
        <v>61</v>
      </c>
      <c r="C435" t="s">
        <v>63</v>
      </c>
      <c r="D435" t="s">
        <v>64</v>
      </c>
      <c r="E435" s="2">
        <v>45689</v>
      </c>
      <c r="F435" s="3">
        <v>101</v>
      </c>
      <c r="G435">
        <v>7</v>
      </c>
      <c r="H435">
        <v>94</v>
      </c>
      <c r="I435">
        <v>2000</v>
      </c>
      <c r="J435">
        <v>4000</v>
      </c>
      <c r="K435">
        <f t="shared" si="60"/>
        <v>28000</v>
      </c>
      <c r="L435">
        <f t="shared" si="61"/>
        <v>14000</v>
      </c>
      <c r="M435">
        <f t="shared" si="62"/>
        <v>14000</v>
      </c>
      <c r="N435" s="4">
        <f t="shared" si="63"/>
        <v>0.5</v>
      </c>
      <c r="O435" t="str">
        <f t="shared" si="64"/>
        <v>Slow Moving</v>
      </c>
      <c r="P435" t="str">
        <f t="shared" si="65"/>
        <v/>
      </c>
      <c r="Q435" t="str">
        <f t="shared" si="66"/>
        <v/>
      </c>
      <c r="S435">
        <f t="shared" si="67"/>
        <v>97.5</v>
      </c>
      <c r="T435" t="str">
        <f t="shared" si="68"/>
        <v>30-60 Days</v>
      </c>
      <c r="U435">
        <f t="shared" si="69"/>
        <v>188000</v>
      </c>
      <c r="V435">
        <f>tbl_inventory[[#This Row],[Units_Sold]]*tbl_inventory[[#This Row],[Revenue]]</f>
        <v>196000</v>
      </c>
    </row>
    <row r="436" spans="1:22" x14ac:dyDescent="0.25">
      <c r="A436" s="2" t="s">
        <v>28</v>
      </c>
      <c r="B436" t="s">
        <v>61</v>
      </c>
      <c r="C436" t="s">
        <v>63</v>
      </c>
      <c r="D436" t="s">
        <v>64</v>
      </c>
      <c r="E436" s="2">
        <v>45717</v>
      </c>
      <c r="F436" s="3">
        <v>130</v>
      </c>
      <c r="G436">
        <v>123</v>
      </c>
      <c r="H436">
        <v>7</v>
      </c>
      <c r="I436">
        <v>2000</v>
      </c>
      <c r="J436">
        <v>4000</v>
      </c>
      <c r="K436">
        <f t="shared" si="60"/>
        <v>492000</v>
      </c>
      <c r="L436">
        <f t="shared" si="61"/>
        <v>246000</v>
      </c>
      <c r="M436">
        <f t="shared" si="62"/>
        <v>246000</v>
      </c>
      <c r="N436" s="4">
        <f t="shared" si="63"/>
        <v>0.5</v>
      </c>
      <c r="O436" t="str">
        <f t="shared" si="64"/>
        <v>Normal</v>
      </c>
      <c r="P436" t="str">
        <f t="shared" si="65"/>
        <v/>
      </c>
      <c r="Q436" t="str">
        <f t="shared" si="66"/>
        <v/>
      </c>
      <c r="S436">
        <f t="shared" si="67"/>
        <v>68.5</v>
      </c>
      <c r="T436" t="str">
        <f t="shared" si="68"/>
        <v>0-30 Days</v>
      </c>
      <c r="U436">
        <f t="shared" si="69"/>
        <v>14000</v>
      </c>
      <c r="V436">
        <f>tbl_inventory[[#This Row],[Units_Sold]]*tbl_inventory[[#This Row],[Revenue]]</f>
        <v>60516000</v>
      </c>
    </row>
    <row r="437" spans="1:22" x14ac:dyDescent="0.25">
      <c r="A437" s="2" t="s">
        <v>28</v>
      </c>
      <c r="B437" t="s">
        <v>61</v>
      </c>
      <c r="C437" t="s">
        <v>63</v>
      </c>
      <c r="D437" t="s">
        <v>64</v>
      </c>
      <c r="E437" s="2">
        <v>45748</v>
      </c>
      <c r="F437" s="3">
        <v>58</v>
      </c>
      <c r="G437">
        <v>36</v>
      </c>
      <c r="H437">
        <v>22</v>
      </c>
      <c r="I437">
        <v>2000</v>
      </c>
      <c r="J437">
        <v>4000</v>
      </c>
      <c r="K437">
        <f t="shared" si="60"/>
        <v>144000</v>
      </c>
      <c r="L437">
        <f t="shared" si="61"/>
        <v>72000</v>
      </c>
      <c r="M437">
        <f t="shared" si="62"/>
        <v>72000</v>
      </c>
      <c r="N437" s="4">
        <f t="shared" si="63"/>
        <v>0.5</v>
      </c>
      <c r="O437" t="str">
        <f t="shared" si="64"/>
        <v>Normal</v>
      </c>
      <c r="P437" t="str">
        <f t="shared" si="65"/>
        <v/>
      </c>
      <c r="Q437" t="str">
        <f t="shared" si="66"/>
        <v/>
      </c>
      <c r="S437">
        <f t="shared" si="67"/>
        <v>40</v>
      </c>
      <c r="T437" t="str">
        <f t="shared" si="68"/>
        <v>0-30 Days</v>
      </c>
      <c r="U437">
        <f t="shared" si="69"/>
        <v>44000</v>
      </c>
      <c r="V437">
        <f>tbl_inventory[[#This Row],[Units_Sold]]*tbl_inventory[[#This Row],[Revenue]]</f>
        <v>5184000</v>
      </c>
    </row>
    <row r="438" spans="1:22" x14ac:dyDescent="0.25">
      <c r="A438" s="2" t="s">
        <v>28</v>
      </c>
      <c r="B438" t="s">
        <v>61</v>
      </c>
      <c r="C438" t="s">
        <v>63</v>
      </c>
      <c r="D438" t="s">
        <v>64</v>
      </c>
      <c r="E438" s="2">
        <v>45778</v>
      </c>
      <c r="F438" s="3">
        <v>62</v>
      </c>
      <c r="G438">
        <v>8</v>
      </c>
      <c r="H438">
        <v>54</v>
      </c>
      <c r="I438">
        <v>2000</v>
      </c>
      <c r="J438">
        <v>4000</v>
      </c>
      <c r="K438">
        <f t="shared" si="60"/>
        <v>32000</v>
      </c>
      <c r="L438">
        <f t="shared" si="61"/>
        <v>16000</v>
      </c>
      <c r="M438">
        <f t="shared" si="62"/>
        <v>16000</v>
      </c>
      <c r="N438" s="4">
        <f t="shared" si="63"/>
        <v>0.5</v>
      </c>
      <c r="O438" t="str">
        <f t="shared" si="64"/>
        <v>Slow Moving</v>
      </c>
      <c r="P438" t="str">
        <f t="shared" si="65"/>
        <v/>
      </c>
      <c r="Q438" t="str">
        <f t="shared" si="66"/>
        <v/>
      </c>
      <c r="S438">
        <f t="shared" si="67"/>
        <v>58</v>
      </c>
      <c r="T438" t="str">
        <f t="shared" si="68"/>
        <v>30-60 Days</v>
      </c>
      <c r="U438">
        <f t="shared" si="69"/>
        <v>108000</v>
      </c>
      <c r="V438">
        <f>tbl_inventory[[#This Row],[Units_Sold]]*tbl_inventory[[#This Row],[Revenue]]</f>
        <v>256000</v>
      </c>
    </row>
    <row r="439" spans="1:22" x14ac:dyDescent="0.25">
      <c r="A439" s="2" t="s">
        <v>28</v>
      </c>
      <c r="B439" t="s">
        <v>61</v>
      </c>
      <c r="C439" t="s">
        <v>63</v>
      </c>
      <c r="D439" t="s">
        <v>64</v>
      </c>
      <c r="E439" s="2">
        <v>45809</v>
      </c>
      <c r="F439" s="3">
        <v>106</v>
      </c>
      <c r="G439">
        <v>60</v>
      </c>
      <c r="H439">
        <v>46</v>
      </c>
      <c r="I439">
        <v>2000</v>
      </c>
      <c r="J439">
        <v>4000</v>
      </c>
      <c r="K439">
        <f t="shared" si="60"/>
        <v>240000</v>
      </c>
      <c r="L439">
        <f t="shared" si="61"/>
        <v>120000</v>
      </c>
      <c r="M439">
        <f t="shared" si="62"/>
        <v>120000</v>
      </c>
      <c r="N439" s="4">
        <f t="shared" si="63"/>
        <v>0.5</v>
      </c>
      <c r="O439" t="str">
        <f t="shared" si="64"/>
        <v>Normal</v>
      </c>
      <c r="P439" t="str">
        <f t="shared" si="65"/>
        <v/>
      </c>
      <c r="Q439" t="str">
        <f t="shared" si="66"/>
        <v/>
      </c>
      <c r="S439">
        <f t="shared" si="67"/>
        <v>76</v>
      </c>
      <c r="T439" t="str">
        <f t="shared" si="68"/>
        <v>0-30 Days</v>
      </c>
      <c r="U439">
        <f t="shared" si="69"/>
        <v>92000</v>
      </c>
      <c r="V439">
        <f>tbl_inventory[[#This Row],[Units_Sold]]*tbl_inventory[[#This Row],[Revenue]]</f>
        <v>14400000</v>
      </c>
    </row>
    <row r="440" spans="1:22" x14ac:dyDescent="0.25">
      <c r="A440" s="2" t="s">
        <v>28</v>
      </c>
      <c r="B440" t="s">
        <v>61</v>
      </c>
      <c r="C440" t="s">
        <v>63</v>
      </c>
      <c r="D440" t="s">
        <v>65</v>
      </c>
      <c r="E440" s="2">
        <v>45658</v>
      </c>
      <c r="F440" s="3">
        <v>194</v>
      </c>
      <c r="G440">
        <v>166</v>
      </c>
      <c r="H440">
        <v>28</v>
      </c>
      <c r="I440">
        <v>2000</v>
      </c>
      <c r="J440">
        <v>4000</v>
      </c>
      <c r="K440">
        <f t="shared" si="60"/>
        <v>664000</v>
      </c>
      <c r="L440">
        <f t="shared" si="61"/>
        <v>332000</v>
      </c>
      <c r="M440">
        <f t="shared" si="62"/>
        <v>332000</v>
      </c>
      <c r="N440" s="4">
        <f t="shared" si="63"/>
        <v>0.5</v>
      </c>
      <c r="O440" t="str">
        <f t="shared" si="64"/>
        <v>Normal</v>
      </c>
      <c r="P440" t="str">
        <f t="shared" si="65"/>
        <v/>
      </c>
      <c r="Q440" t="str">
        <f t="shared" si="66"/>
        <v/>
      </c>
      <c r="S440">
        <f t="shared" si="67"/>
        <v>111</v>
      </c>
      <c r="T440" t="str">
        <f t="shared" si="68"/>
        <v>0-30 Days</v>
      </c>
      <c r="U440">
        <f t="shared" si="69"/>
        <v>56000</v>
      </c>
      <c r="V440">
        <f>tbl_inventory[[#This Row],[Units_Sold]]*tbl_inventory[[#This Row],[Revenue]]</f>
        <v>110224000</v>
      </c>
    </row>
    <row r="441" spans="1:22" x14ac:dyDescent="0.25">
      <c r="A441" s="2" t="s">
        <v>28</v>
      </c>
      <c r="B441" t="s">
        <v>61</v>
      </c>
      <c r="C441" t="s">
        <v>63</v>
      </c>
      <c r="D441" t="s">
        <v>65</v>
      </c>
      <c r="E441" s="2">
        <v>45689</v>
      </c>
      <c r="F441" s="3">
        <v>132</v>
      </c>
      <c r="G441">
        <v>4</v>
      </c>
      <c r="H441">
        <v>128</v>
      </c>
      <c r="I441">
        <v>2000</v>
      </c>
      <c r="J441">
        <v>4000</v>
      </c>
      <c r="K441">
        <f t="shared" si="60"/>
        <v>16000</v>
      </c>
      <c r="L441">
        <f t="shared" si="61"/>
        <v>8000</v>
      </c>
      <c r="M441">
        <f t="shared" si="62"/>
        <v>8000</v>
      </c>
      <c r="N441" s="4">
        <f t="shared" si="63"/>
        <v>0.5</v>
      </c>
      <c r="O441" t="str">
        <f t="shared" si="64"/>
        <v>Slow Moving</v>
      </c>
      <c r="P441" t="str">
        <f t="shared" si="65"/>
        <v/>
      </c>
      <c r="Q441" t="str">
        <f t="shared" si="66"/>
        <v/>
      </c>
      <c r="S441">
        <f t="shared" si="67"/>
        <v>130</v>
      </c>
      <c r="T441" t="str">
        <f t="shared" si="68"/>
        <v>60-90 Days</v>
      </c>
      <c r="U441">
        <f t="shared" si="69"/>
        <v>256000</v>
      </c>
      <c r="V441">
        <f>tbl_inventory[[#This Row],[Units_Sold]]*tbl_inventory[[#This Row],[Revenue]]</f>
        <v>64000</v>
      </c>
    </row>
    <row r="442" spans="1:22" x14ac:dyDescent="0.25">
      <c r="A442" s="2" t="s">
        <v>28</v>
      </c>
      <c r="B442" t="s">
        <v>61</v>
      </c>
      <c r="C442" t="s">
        <v>63</v>
      </c>
      <c r="D442" t="s">
        <v>65</v>
      </c>
      <c r="E442" s="2">
        <v>45717</v>
      </c>
      <c r="F442" s="3">
        <v>56</v>
      </c>
      <c r="G442">
        <v>6</v>
      </c>
      <c r="H442">
        <v>50</v>
      </c>
      <c r="I442">
        <v>2000</v>
      </c>
      <c r="J442">
        <v>4000</v>
      </c>
      <c r="K442">
        <f t="shared" si="60"/>
        <v>24000</v>
      </c>
      <c r="L442">
        <f t="shared" si="61"/>
        <v>12000</v>
      </c>
      <c r="M442">
        <f t="shared" si="62"/>
        <v>12000</v>
      </c>
      <c r="N442" s="4">
        <f t="shared" si="63"/>
        <v>0.5</v>
      </c>
      <c r="O442" t="str">
        <f t="shared" si="64"/>
        <v>Slow Moving</v>
      </c>
      <c r="P442" t="str">
        <f t="shared" si="65"/>
        <v/>
      </c>
      <c r="Q442" t="str">
        <f t="shared" si="66"/>
        <v/>
      </c>
      <c r="S442">
        <f t="shared" si="67"/>
        <v>53</v>
      </c>
      <c r="T442" t="str">
        <f t="shared" si="68"/>
        <v>0-30 Days</v>
      </c>
      <c r="U442">
        <f t="shared" si="69"/>
        <v>100000</v>
      </c>
      <c r="V442">
        <f>tbl_inventory[[#This Row],[Units_Sold]]*tbl_inventory[[#This Row],[Revenue]]</f>
        <v>144000</v>
      </c>
    </row>
    <row r="443" spans="1:22" x14ac:dyDescent="0.25">
      <c r="A443" s="2" t="s">
        <v>28</v>
      </c>
      <c r="B443" t="s">
        <v>61</v>
      </c>
      <c r="C443" t="s">
        <v>63</v>
      </c>
      <c r="D443" t="s">
        <v>65</v>
      </c>
      <c r="E443" s="2">
        <v>45748</v>
      </c>
      <c r="F443" s="3">
        <v>152</v>
      </c>
      <c r="G443">
        <v>87</v>
      </c>
      <c r="H443">
        <v>65</v>
      </c>
      <c r="I443">
        <v>2000</v>
      </c>
      <c r="J443">
        <v>4000</v>
      </c>
      <c r="K443">
        <f t="shared" si="60"/>
        <v>348000</v>
      </c>
      <c r="L443">
        <f t="shared" si="61"/>
        <v>174000</v>
      </c>
      <c r="M443">
        <f t="shared" si="62"/>
        <v>174000</v>
      </c>
      <c r="N443" s="4">
        <f t="shared" si="63"/>
        <v>0.5</v>
      </c>
      <c r="O443" t="str">
        <f t="shared" si="64"/>
        <v>Normal</v>
      </c>
      <c r="P443" t="str">
        <f t="shared" si="65"/>
        <v/>
      </c>
      <c r="Q443" t="str">
        <f t="shared" si="66"/>
        <v/>
      </c>
      <c r="S443">
        <f t="shared" si="67"/>
        <v>108.5</v>
      </c>
      <c r="T443" t="str">
        <f t="shared" si="68"/>
        <v>30-60 Days</v>
      </c>
      <c r="U443">
        <f t="shared" si="69"/>
        <v>130000</v>
      </c>
      <c r="V443">
        <f>tbl_inventory[[#This Row],[Units_Sold]]*tbl_inventory[[#This Row],[Revenue]]</f>
        <v>30276000</v>
      </c>
    </row>
    <row r="444" spans="1:22" x14ac:dyDescent="0.25">
      <c r="A444" s="2" t="s">
        <v>28</v>
      </c>
      <c r="B444" t="s">
        <v>61</v>
      </c>
      <c r="C444" t="s">
        <v>63</v>
      </c>
      <c r="D444" t="s">
        <v>65</v>
      </c>
      <c r="E444" s="2">
        <v>45778</v>
      </c>
      <c r="F444" s="3">
        <v>93</v>
      </c>
      <c r="G444">
        <v>15</v>
      </c>
      <c r="H444">
        <v>78</v>
      </c>
      <c r="I444">
        <v>2000</v>
      </c>
      <c r="J444">
        <v>4000</v>
      </c>
      <c r="K444">
        <f t="shared" si="60"/>
        <v>60000</v>
      </c>
      <c r="L444">
        <f t="shared" si="61"/>
        <v>30000</v>
      </c>
      <c r="M444">
        <f t="shared" si="62"/>
        <v>30000</v>
      </c>
      <c r="N444" s="4">
        <f t="shared" si="63"/>
        <v>0.5</v>
      </c>
      <c r="O444" t="str">
        <f t="shared" si="64"/>
        <v>Slow Moving</v>
      </c>
      <c r="P444" t="str">
        <f t="shared" si="65"/>
        <v/>
      </c>
      <c r="Q444" t="str">
        <f t="shared" si="66"/>
        <v/>
      </c>
      <c r="S444">
        <f t="shared" si="67"/>
        <v>85.5</v>
      </c>
      <c r="T444" t="str">
        <f t="shared" si="68"/>
        <v>30-60 Days</v>
      </c>
      <c r="U444">
        <f t="shared" si="69"/>
        <v>156000</v>
      </c>
      <c r="V444">
        <f>tbl_inventory[[#This Row],[Units_Sold]]*tbl_inventory[[#This Row],[Revenue]]</f>
        <v>900000</v>
      </c>
    </row>
    <row r="445" spans="1:22" x14ac:dyDescent="0.25">
      <c r="A445" s="2" t="s">
        <v>28</v>
      </c>
      <c r="B445" t="s">
        <v>61</v>
      </c>
      <c r="C445" t="s">
        <v>63</v>
      </c>
      <c r="D445" t="s">
        <v>65</v>
      </c>
      <c r="E445" s="2">
        <v>45809</v>
      </c>
      <c r="F445" s="3">
        <v>69</v>
      </c>
      <c r="G445">
        <v>55</v>
      </c>
      <c r="H445">
        <v>14</v>
      </c>
      <c r="I445">
        <v>2000</v>
      </c>
      <c r="J445">
        <v>4000</v>
      </c>
      <c r="K445">
        <f t="shared" si="60"/>
        <v>220000</v>
      </c>
      <c r="L445">
        <f t="shared" si="61"/>
        <v>110000</v>
      </c>
      <c r="M445">
        <f t="shared" si="62"/>
        <v>110000</v>
      </c>
      <c r="N445" s="4">
        <f t="shared" si="63"/>
        <v>0.5</v>
      </c>
      <c r="O445" t="str">
        <f t="shared" si="64"/>
        <v>Normal</v>
      </c>
      <c r="P445" t="str">
        <f t="shared" si="65"/>
        <v/>
      </c>
      <c r="Q445" t="str">
        <f t="shared" si="66"/>
        <v/>
      </c>
      <c r="S445">
        <f t="shared" si="67"/>
        <v>41.5</v>
      </c>
      <c r="T445" t="str">
        <f t="shared" si="68"/>
        <v>0-30 Days</v>
      </c>
      <c r="U445">
        <f t="shared" si="69"/>
        <v>28000</v>
      </c>
      <c r="V445">
        <f>tbl_inventory[[#This Row],[Units_Sold]]*tbl_inventory[[#This Row],[Revenue]]</f>
        <v>12100000</v>
      </c>
    </row>
    <row r="446" spans="1:22" x14ac:dyDescent="0.25">
      <c r="A446" s="2" t="s">
        <v>28</v>
      </c>
      <c r="B446" t="s">
        <v>61</v>
      </c>
      <c r="C446" t="s">
        <v>63</v>
      </c>
      <c r="D446" t="s">
        <v>66</v>
      </c>
      <c r="E446" s="2">
        <v>45658</v>
      </c>
      <c r="F446" s="3">
        <v>180</v>
      </c>
      <c r="G446">
        <v>59</v>
      </c>
      <c r="H446">
        <v>121</v>
      </c>
      <c r="I446">
        <v>2000</v>
      </c>
      <c r="J446">
        <v>4000</v>
      </c>
      <c r="K446">
        <f t="shared" si="60"/>
        <v>236000</v>
      </c>
      <c r="L446">
        <f t="shared" si="61"/>
        <v>118000</v>
      </c>
      <c r="M446">
        <f t="shared" si="62"/>
        <v>118000</v>
      </c>
      <c r="N446" s="4">
        <f t="shared" si="63"/>
        <v>0.5</v>
      </c>
      <c r="O446" t="str">
        <f t="shared" si="64"/>
        <v>Normal</v>
      </c>
      <c r="P446" t="str">
        <f t="shared" si="65"/>
        <v/>
      </c>
      <c r="Q446" t="str">
        <f t="shared" si="66"/>
        <v/>
      </c>
      <c r="S446">
        <f t="shared" si="67"/>
        <v>150.5</v>
      </c>
      <c r="T446" t="str">
        <f t="shared" si="68"/>
        <v>60-90 Days</v>
      </c>
      <c r="U446">
        <f t="shared" si="69"/>
        <v>242000</v>
      </c>
      <c r="V446">
        <f>tbl_inventory[[#This Row],[Units_Sold]]*tbl_inventory[[#This Row],[Revenue]]</f>
        <v>13924000</v>
      </c>
    </row>
    <row r="447" spans="1:22" x14ac:dyDescent="0.25">
      <c r="A447" s="2" t="s">
        <v>28</v>
      </c>
      <c r="B447" t="s">
        <v>61</v>
      </c>
      <c r="C447" t="s">
        <v>63</v>
      </c>
      <c r="D447" t="s">
        <v>66</v>
      </c>
      <c r="E447" s="2">
        <v>45689</v>
      </c>
      <c r="F447" s="3">
        <v>69</v>
      </c>
      <c r="G447">
        <v>2</v>
      </c>
      <c r="H447">
        <v>67</v>
      </c>
      <c r="I447">
        <v>2000</v>
      </c>
      <c r="J447">
        <v>4000</v>
      </c>
      <c r="K447">
        <f t="shared" si="60"/>
        <v>8000</v>
      </c>
      <c r="L447">
        <f t="shared" si="61"/>
        <v>4000</v>
      </c>
      <c r="M447">
        <f t="shared" si="62"/>
        <v>4000</v>
      </c>
      <c r="N447" s="4">
        <f t="shared" si="63"/>
        <v>0.5</v>
      </c>
      <c r="O447" t="str">
        <f t="shared" si="64"/>
        <v>Slow Moving</v>
      </c>
      <c r="P447" t="str">
        <f t="shared" si="65"/>
        <v/>
      </c>
      <c r="Q447" t="str">
        <f t="shared" si="66"/>
        <v/>
      </c>
      <c r="S447">
        <f t="shared" si="67"/>
        <v>68</v>
      </c>
      <c r="T447" t="str">
        <f t="shared" si="68"/>
        <v>30-60 Days</v>
      </c>
      <c r="U447">
        <f t="shared" si="69"/>
        <v>134000</v>
      </c>
      <c r="V447">
        <f>tbl_inventory[[#This Row],[Units_Sold]]*tbl_inventory[[#This Row],[Revenue]]</f>
        <v>16000</v>
      </c>
    </row>
    <row r="448" spans="1:22" x14ac:dyDescent="0.25">
      <c r="A448" s="2" t="s">
        <v>28</v>
      </c>
      <c r="B448" t="s">
        <v>61</v>
      </c>
      <c r="C448" t="s">
        <v>63</v>
      </c>
      <c r="D448" t="s">
        <v>66</v>
      </c>
      <c r="E448" s="2">
        <v>45717</v>
      </c>
      <c r="F448" s="3">
        <v>108</v>
      </c>
      <c r="G448">
        <v>50</v>
      </c>
      <c r="H448">
        <v>58</v>
      </c>
      <c r="I448">
        <v>2000</v>
      </c>
      <c r="J448">
        <v>4000</v>
      </c>
      <c r="K448">
        <f t="shared" si="60"/>
        <v>200000</v>
      </c>
      <c r="L448">
        <f t="shared" si="61"/>
        <v>100000</v>
      </c>
      <c r="M448">
        <f t="shared" si="62"/>
        <v>100000</v>
      </c>
      <c r="N448" s="4">
        <f t="shared" si="63"/>
        <v>0.5</v>
      </c>
      <c r="O448" t="str">
        <f t="shared" si="64"/>
        <v>Normal</v>
      </c>
      <c r="P448" t="str">
        <f t="shared" si="65"/>
        <v/>
      </c>
      <c r="Q448" t="str">
        <f t="shared" si="66"/>
        <v/>
      </c>
      <c r="S448">
        <f t="shared" si="67"/>
        <v>83</v>
      </c>
      <c r="T448" t="str">
        <f t="shared" si="68"/>
        <v>30-60 Days</v>
      </c>
      <c r="U448">
        <f t="shared" si="69"/>
        <v>116000</v>
      </c>
      <c r="V448">
        <f>tbl_inventory[[#This Row],[Units_Sold]]*tbl_inventory[[#This Row],[Revenue]]</f>
        <v>10000000</v>
      </c>
    </row>
    <row r="449" spans="1:22" x14ac:dyDescent="0.25">
      <c r="A449" s="2" t="s">
        <v>28</v>
      </c>
      <c r="B449" t="s">
        <v>61</v>
      </c>
      <c r="C449" t="s">
        <v>63</v>
      </c>
      <c r="D449" t="s">
        <v>66</v>
      </c>
      <c r="E449" s="2">
        <v>45748</v>
      </c>
      <c r="F449" s="3">
        <v>148</v>
      </c>
      <c r="G449">
        <v>68</v>
      </c>
      <c r="H449">
        <v>80</v>
      </c>
      <c r="I449">
        <v>2000</v>
      </c>
      <c r="J449">
        <v>4000</v>
      </c>
      <c r="K449">
        <f t="shared" si="60"/>
        <v>272000</v>
      </c>
      <c r="L449">
        <f t="shared" si="61"/>
        <v>136000</v>
      </c>
      <c r="M449">
        <f t="shared" si="62"/>
        <v>136000</v>
      </c>
      <c r="N449" s="4">
        <f t="shared" si="63"/>
        <v>0.5</v>
      </c>
      <c r="O449" t="str">
        <f t="shared" si="64"/>
        <v>Normal</v>
      </c>
      <c r="P449" t="str">
        <f t="shared" si="65"/>
        <v/>
      </c>
      <c r="Q449" t="str">
        <f t="shared" si="66"/>
        <v/>
      </c>
      <c r="S449">
        <f t="shared" si="67"/>
        <v>114</v>
      </c>
      <c r="T449" t="str">
        <f t="shared" si="68"/>
        <v>30-60 Days</v>
      </c>
      <c r="U449">
        <f t="shared" si="69"/>
        <v>160000</v>
      </c>
      <c r="V449">
        <f>tbl_inventory[[#This Row],[Units_Sold]]*tbl_inventory[[#This Row],[Revenue]]</f>
        <v>18496000</v>
      </c>
    </row>
    <row r="450" spans="1:22" x14ac:dyDescent="0.25">
      <c r="A450" s="2" t="s">
        <v>28</v>
      </c>
      <c r="B450" t="s">
        <v>61</v>
      </c>
      <c r="C450" t="s">
        <v>63</v>
      </c>
      <c r="D450" t="s">
        <v>66</v>
      </c>
      <c r="E450" s="2">
        <v>45778</v>
      </c>
      <c r="F450" s="3">
        <v>65</v>
      </c>
      <c r="G450">
        <v>36</v>
      </c>
      <c r="H450">
        <v>29</v>
      </c>
      <c r="I450">
        <v>2000</v>
      </c>
      <c r="J450">
        <v>4000</v>
      </c>
      <c r="K450">
        <f t="shared" si="60"/>
        <v>144000</v>
      </c>
      <c r="L450">
        <f t="shared" si="61"/>
        <v>72000</v>
      </c>
      <c r="M450">
        <f t="shared" si="62"/>
        <v>72000</v>
      </c>
      <c r="N450" s="4">
        <f t="shared" si="63"/>
        <v>0.5</v>
      </c>
      <c r="O450" t="str">
        <f t="shared" si="64"/>
        <v>Normal</v>
      </c>
      <c r="P450" t="str">
        <f t="shared" si="65"/>
        <v/>
      </c>
      <c r="Q450" t="str">
        <f t="shared" si="66"/>
        <v/>
      </c>
      <c r="S450">
        <f t="shared" si="67"/>
        <v>47</v>
      </c>
      <c r="T450" t="str">
        <f t="shared" si="68"/>
        <v>0-30 Days</v>
      </c>
      <c r="U450">
        <f t="shared" si="69"/>
        <v>58000</v>
      </c>
      <c r="V450">
        <f>tbl_inventory[[#This Row],[Units_Sold]]*tbl_inventory[[#This Row],[Revenue]]</f>
        <v>5184000</v>
      </c>
    </row>
    <row r="451" spans="1:22" x14ac:dyDescent="0.25">
      <c r="A451" s="2" t="s">
        <v>28</v>
      </c>
      <c r="B451" t="s">
        <v>61</v>
      </c>
      <c r="C451" t="s">
        <v>63</v>
      </c>
      <c r="D451" t="s">
        <v>66</v>
      </c>
      <c r="E451" s="2">
        <v>45809</v>
      </c>
      <c r="F451" s="3">
        <v>121</v>
      </c>
      <c r="G451">
        <v>107</v>
      </c>
      <c r="H451">
        <v>14</v>
      </c>
      <c r="I451">
        <v>2000</v>
      </c>
      <c r="J451">
        <v>4000</v>
      </c>
      <c r="K451">
        <f t="shared" ref="K451:K481" si="70">G451*J451</f>
        <v>428000</v>
      </c>
      <c r="L451">
        <f t="shared" ref="L451:L481" si="71">G451*I451</f>
        <v>214000</v>
      </c>
      <c r="M451">
        <f t="shared" ref="M451:M481" si="72">K451-L451</f>
        <v>214000</v>
      </c>
      <c r="N451" s="4">
        <f t="shared" ref="N451:N481" si="73">IF(K451=0,0,M451/K451)</f>
        <v>0.5</v>
      </c>
      <c r="O451" t="str">
        <f t="shared" ref="O451:O481" si="74">IF(G451&lt;20,"Slow Moving","Normal")</f>
        <v>Normal</v>
      </c>
      <c r="P451" t="str">
        <f t="shared" ref="P451:P481" si="75">IF(G451=0,"Dead Stock","")</f>
        <v/>
      </c>
      <c r="Q451" t="str">
        <f t="shared" ref="Q451:Q481" si="76">IF(N451&lt;0.1,"Low Margin","")</f>
        <v/>
      </c>
      <c r="S451">
        <f t="shared" ref="S451:S481" si="77">(F451+H451)/2</f>
        <v>67.5</v>
      </c>
      <c r="T451" t="str">
        <f t="shared" ref="T451:T481" si="78">IF(H451&gt;200,"90+ Days",
IF(H451&gt;100,"60-90 Days",
IF(H451&gt;50,"30-60 Days","0-30 Days")))</f>
        <v>0-30 Days</v>
      </c>
      <c r="U451">
        <f t="shared" ref="U451:U481" si="79">H451 * I451</f>
        <v>28000</v>
      </c>
      <c r="V451">
        <f>tbl_inventory[[#This Row],[Units_Sold]]*tbl_inventory[[#This Row],[Revenue]]</f>
        <v>45796000</v>
      </c>
    </row>
    <row r="452" spans="1:22" x14ac:dyDescent="0.25">
      <c r="A452" s="2" t="s">
        <v>28</v>
      </c>
      <c r="B452" t="s">
        <v>61</v>
      </c>
      <c r="C452" t="s">
        <v>63</v>
      </c>
      <c r="D452" t="s">
        <v>67</v>
      </c>
      <c r="E452" s="2">
        <v>45658</v>
      </c>
      <c r="F452" s="3">
        <v>95</v>
      </c>
      <c r="G452">
        <v>57</v>
      </c>
      <c r="H452">
        <v>38</v>
      </c>
      <c r="I452">
        <v>2000</v>
      </c>
      <c r="J452">
        <v>4000</v>
      </c>
      <c r="K452">
        <f t="shared" si="70"/>
        <v>228000</v>
      </c>
      <c r="L452">
        <f t="shared" si="71"/>
        <v>114000</v>
      </c>
      <c r="M452">
        <f t="shared" si="72"/>
        <v>114000</v>
      </c>
      <c r="N452" s="4">
        <f t="shared" si="73"/>
        <v>0.5</v>
      </c>
      <c r="O452" t="str">
        <f t="shared" si="74"/>
        <v>Normal</v>
      </c>
      <c r="P452" t="str">
        <f t="shared" si="75"/>
        <v/>
      </c>
      <c r="Q452" t="str">
        <f t="shared" si="76"/>
        <v/>
      </c>
      <c r="S452">
        <f t="shared" si="77"/>
        <v>66.5</v>
      </c>
      <c r="T452" t="str">
        <f t="shared" si="78"/>
        <v>0-30 Days</v>
      </c>
      <c r="U452">
        <f t="shared" si="79"/>
        <v>76000</v>
      </c>
      <c r="V452">
        <f>tbl_inventory[[#This Row],[Units_Sold]]*tbl_inventory[[#This Row],[Revenue]]</f>
        <v>12996000</v>
      </c>
    </row>
    <row r="453" spans="1:22" x14ac:dyDescent="0.25">
      <c r="A453" s="2" t="s">
        <v>28</v>
      </c>
      <c r="B453" t="s">
        <v>61</v>
      </c>
      <c r="C453" t="s">
        <v>63</v>
      </c>
      <c r="D453" t="s">
        <v>67</v>
      </c>
      <c r="E453" s="2">
        <v>45689</v>
      </c>
      <c r="F453" s="3">
        <v>105</v>
      </c>
      <c r="G453">
        <v>49</v>
      </c>
      <c r="H453">
        <v>56</v>
      </c>
      <c r="I453">
        <v>2000</v>
      </c>
      <c r="J453">
        <v>4000</v>
      </c>
      <c r="K453">
        <f t="shared" si="70"/>
        <v>196000</v>
      </c>
      <c r="L453">
        <f t="shared" si="71"/>
        <v>98000</v>
      </c>
      <c r="M453">
        <f t="shared" si="72"/>
        <v>98000</v>
      </c>
      <c r="N453" s="4">
        <f t="shared" si="73"/>
        <v>0.5</v>
      </c>
      <c r="O453" t="str">
        <f t="shared" si="74"/>
        <v>Normal</v>
      </c>
      <c r="P453" t="str">
        <f t="shared" si="75"/>
        <v/>
      </c>
      <c r="Q453" t="str">
        <f t="shared" si="76"/>
        <v/>
      </c>
      <c r="S453">
        <f t="shared" si="77"/>
        <v>80.5</v>
      </c>
      <c r="T453" t="str">
        <f t="shared" si="78"/>
        <v>30-60 Days</v>
      </c>
      <c r="U453">
        <f t="shared" si="79"/>
        <v>112000</v>
      </c>
      <c r="V453">
        <f>tbl_inventory[[#This Row],[Units_Sold]]*tbl_inventory[[#This Row],[Revenue]]</f>
        <v>9604000</v>
      </c>
    </row>
    <row r="454" spans="1:22" x14ac:dyDescent="0.25">
      <c r="A454" s="2" t="s">
        <v>28</v>
      </c>
      <c r="B454" t="s">
        <v>61</v>
      </c>
      <c r="C454" t="s">
        <v>63</v>
      </c>
      <c r="D454" t="s">
        <v>67</v>
      </c>
      <c r="E454" s="2">
        <v>45717</v>
      </c>
      <c r="F454" s="3">
        <v>111</v>
      </c>
      <c r="G454">
        <v>89</v>
      </c>
      <c r="H454">
        <v>22</v>
      </c>
      <c r="I454">
        <v>2000</v>
      </c>
      <c r="J454">
        <v>4000</v>
      </c>
      <c r="K454">
        <f t="shared" si="70"/>
        <v>356000</v>
      </c>
      <c r="L454">
        <f t="shared" si="71"/>
        <v>178000</v>
      </c>
      <c r="M454">
        <f t="shared" si="72"/>
        <v>178000</v>
      </c>
      <c r="N454" s="4">
        <f t="shared" si="73"/>
        <v>0.5</v>
      </c>
      <c r="O454" t="str">
        <f t="shared" si="74"/>
        <v>Normal</v>
      </c>
      <c r="P454" t="str">
        <f t="shared" si="75"/>
        <v/>
      </c>
      <c r="Q454" t="str">
        <f t="shared" si="76"/>
        <v/>
      </c>
      <c r="S454">
        <f t="shared" si="77"/>
        <v>66.5</v>
      </c>
      <c r="T454" t="str">
        <f t="shared" si="78"/>
        <v>0-30 Days</v>
      </c>
      <c r="U454">
        <f t="shared" si="79"/>
        <v>44000</v>
      </c>
      <c r="V454">
        <f>tbl_inventory[[#This Row],[Units_Sold]]*tbl_inventory[[#This Row],[Revenue]]</f>
        <v>31684000</v>
      </c>
    </row>
    <row r="455" spans="1:22" x14ac:dyDescent="0.25">
      <c r="A455" s="2" t="s">
        <v>28</v>
      </c>
      <c r="B455" t="s">
        <v>61</v>
      </c>
      <c r="C455" t="s">
        <v>63</v>
      </c>
      <c r="D455" t="s">
        <v>67</v>
      </c>
      <c r="E455" s="2">
        <v>45748</v>
      </c>
      <c r="F455" s="3">
        <v>186</v>
      </c>
      <c r="G455">
        <v>83</v>
      </c>
      <c r="H455">
        <v>103</v>
      </c>
      <c r="I455">
        <v>2000</v>
      </c>
      <c r="J455">
        <v>4000</v>
      </c>
      <c r="K455">
        <f t="shared" si="70"/>
        <v>332000</v>
      </c>
      <c r="L455">
        <f t="shared" si="71"/>
        <v>166000</v>
      </c>
      <c r="M455">
        <f t="shared" si="72"/>
        <v>166000</v>
      </c>
      <c r="N455" s="4">
        <f t="shared" si="73"/>
        <v>0.5</v>
      </c>
      <c r="O455" t="str">
        <f t="shared" si="74"/>
        <v>Normal</v>
      </c>
      <c r="P455" t="str">
        <f t="shared" si="75"/>
        <v/>
      </c>
      <c r="Q455" t="str">
        <f t="shared" si="76"/>
        <v/>
      </c>
      <c r="S455">
        <f t="shared" si="77"/>
        <v>144.5</v>
      </c>
      <c r="T455" t="str">
        <f t="shared" si="78"/>
        <v>60-90 Days</v>
      </c>
      <c r="U455">
        <f t="shared" si="79"/>
        <v>206000</v>
      </c>
      <c r="V455">
        <f>tbl_inventory[[#This Row],[Units_Sold]]*tbl_inventory[[#This Row],[Revenue]]</f>
        <v>27556000</v>
      </c>
    </row>
    <row r="456" spans="1:22" x14ac:dyDescent="0.25">
      <c r="A456" s="2" t="s">
        <v>28</v>
      </c>
      <c r="B456" t="s">
        <v>61</v>
      </c>
      <c r="C456" t="s">
        <v>63</v>
      </c>
      <c r="D456" t="s">
        <v>67</v>
      </c>
      <c r="E456" s="2">
        <v>45778</v>
      </c>
      <c r="F456" s="3">
        <v>121</v>
      </c>
      <c r="G456">
        <v>77</v>
      </c>
      <c r="H456">
        <v>44</v>
      </c>
      <c r="I456">
        <v>2000</v>
      </c>
      <c r="J456">
        <v>4000</v>
      </c>
      <c r="K456">
        <f t="shared" si="70"/>
        <v>308000</v>
      </c>
      <c r="L456">
        <f t="shared" si="71"/>
        <v>154000</v>
      </c>
      <c r="M456">
        <f t="shared" si="72"/>
        <v>154000</v>
      </c>
      <c r="N456" s="4">
        <f t="shared" si="73"/>
        <v>0.5</v>
      </c>
      <c r="O456" t="str">
        <f t="shared" si="74"/>
        <v>Normal</v>
      </c>
      <c r="P456" t="str">
        <f t="shared" si="75"/>
        <v/>
      </c>
      <c r="Q456" t="str">
        <f t="shared" si="76"/>
        <v/>
      </c>
      <c r="S456">
        <f t="shared" si="77"/>
        <v>82.5</v>
      </c>
      <c r="T456" t="str">
        <f t="shared" si="78"/>
        <v>0-30 Days</v>
      </c>
      <c r="U456">
        <f t="shared" si="79"/>
        <v>88000</v>
      </c>
      <c r="V456">
        <f>tbl_inventory[[#This Row],[Units_Sold]]*tbl_inventory[[#This Row],[Revenue]]</f>
        <v>23716000</v>
      </c>
    </row>
    <row r="457" spans="1:22" x14ac:dyDescent="0.25">
      <c r="A457" s="2" t="s">
        <v>28</v>
      </c>
      <c r="B457" t="s">
        <v>61</v>
      </c>
      <c r="C457" t="s">
        <v>63</v>
      </c>
      <c r="D457" t="s">
        <v>67</v>
      </c>
      <c r="E457" s="2">
        <v>45809</v>
      </c>
      <c r="F457" s="3">
        <v>94</v>
      </c>
      <c r="G457">
        <v>52</v>
      </c>
      <c r="H457">
        <v>42</v>
      </c>
      <c r="I457">
        <v>2000</v>
      </c>
      <c r="J457">
        <v>4000</v>
      </c>
      <c r="K457">
        <f t="shared" si="70"/>
        <v>208000</v>
      </c>
      <c r="L457">
        <f t="shared" si="71"/>
        <v>104000</v>
      </c>
      <c r="M457">
        <f t="shared" si="72"/>
        <v>104000</v>
      </c>
      <c r="N457" s="4">
        <f t="shared" si="73"/>
        <v>0.5</v>
      </c>
      <c r="O457" t="str">
        <f t="shared" si="74"/>
        <v>Normal</v>
      </c>
      <c r="P457" t="str">
        <f t="shared" si="75"/>
        <v/>
      </c>
      <c r="Q457" t="str">
        <f t="shared" si="76"/>
        <v/>
      </c>
      <c r="S457">
        <f t="shared" si="77"/>
        <v>68</v>
      </c>
      <c r="T457" t="str">
        <f t="shared" si="78"/>
        <v>0-30 Days</v>
      </c>
      <c r="U457">
        <f t="shared" si="79"/>
        <v>84000</v>
      </c>
      <c r="V457">
        <f>tbl_inventory[[#This Row],[Units_Sold]]*tbl_inventory[[#This Row],[Revenue]]</f>
        <v>10816000</v>
      </c>
    </row>
    <row r="458" spans="1:22" x14ac:dyDescent="0.25">
      <c r="A458" s="2" t="s">
        <v>29</v>
      </c>
      <c r="B458" t="s">
        <v>62</v>
      </c>
      <c r="C458" t="s">
        <v>63</v>
      </c>
      <c r="D458" t="s">
        <v>64</v>
      </c>
      <c r="E458" s="2">
        <v>45658</v>
      </c>
      <c r="F458" s="3">
        <v>80</v>
      </c>
      <c r="G458">
        <v>6</v>
      </c>
      <c r="H458">
        <v>74</v>
      </c>
      <c r="I458">
        <v>1000</v>
      </c>
      <c r="J458">
        <v>2500</v>
      </c>
      <c r="K458">
        <f t="shared" si="70"/>
        <v>15000</v>
      </c>
      <c r="L458">
        <f t="shared" si="71"/>
        <v>6000</v>
      </c>
      <c r="M458">
        <f t="shared" si="72"/>
        <v>9000</v>
      </c>
      <c r="N458" s="4">
        <f t="shared" si="73"/>
        <v>0.6</v>
      </c>
      <c r="O458" t="str">
        <f t="shared" si="74"/>
        <v>Slow Moving</v>
      </c>
      <c r="P458" t="str">
        <f t="shared" si="75"/>
        <v/>
      </c>
      <c r="Q458" t="str">
        <f t="shared" si="76"/>
        <v/>
      </c>
      <c r="S458">
        <f t="shared" si="77"/>
        <v>77</v>
      </c>
      <c r="T458" t="str">
        <f t="shared" si="78"/>
        <v>30-60 Days</v>
      </c>
      <c r="U458">
        <f t="shared" si="79"/>
        <v>74000</v>
      </c>
      <c r="V458">
        <f>tbl_inventory[[#This Row],[Units_Sold]]*tbl_inventory[[#This Row],[Revenue]]</f>
        <v>90000</v>
      </c>
    </row>
    <row r="459" spans="1:22" x14ac:dyDescent="0.25">
      <c r="A459" s="2" t="s">
        <v>29</v>
      </c>
      <c r="B459" t="s">
        <v>62</v>
      </c>
      <c r="C459" t="s">
        <v>63</v>
      </c>
      <c r="D459" t="s">
        <v>64</v>
      </c>
      <c r="E459" s="2">
        <v>45689</v>
      </c>
      <c r="F459" s="3">
        <v>83</v>
      </c>
      <c r="G459">
        <v>39</v>
      </c>
      <c r="H459">
        <v>44</v>
      </c>
      <c r="I459">
        <v>1000</v>
      </c>
      <c r="J459">
        <v>2500</v>
      </c>
      <c r="K459">
        <f t="shared" si="70"/>
        <v>97500</v>
      </c>
      <c r="L459">
        <f t="shared" si="71"/>
        <v>39000</v>
      </c>
      <c r="M459">
        <f t="shared" si="72"/>
        <v>58500</v>
      </c>
      <c r="N459" s="4">
        <f t="shared" si="73"/>
        <v>0.6</v>
      </c>
      <c r="O459" t="str">
        <f t="shared" si="74"/>
        <v>Normal</v>
      </c>
      <c r="P459" t="str">
        <f t="shared" si="75"/>
        <v/>
      </c>
      <c r="Q459" t="str">
        <f t="shared" si="76"/>
        <v/>
      </c>
      <c r="S459">
        <f t="shared" si="77"/>
        <v>63.5</v>
      </c>
      <c r="T459" t="str">
        <f t="shared" si="78"/>
        <v>0-30 Days</v>
      </c>
      <c r="U459">
        <f t="shared" si="79"/>
        <v>44000</v>
      </c>
      <c r="V459">
        <f>tbl_inventory[[#This Row],[Units_Sold]]*tbl_inventory[[#This Row],[Revenue]]</f>
        <v>3802500</v>
      </c>
    </row>
    <row r="460" spans="1:22" x14ac:dyDescent="0.25">
      <c r="A460" s="2" t="s">
        <v>29</v>
      </c>
      <c r="B460" t="s">
        <v>62</v>
      </c>
      <c r="C460" t="s">
        <v>63</v>
      </c>
      <c r="D460" t="s">
        <v>64</v>
      </c>
      <c r="E460" s="2">
        <v>45717</v>
      </c>
      <c r="F460" s="3">
        <v>200</v>
      </c>
      <c r="G460">
        <v>168</v>
      </c>
      <c r="H460">
        <v>32</v>
      </c>
      <c r="I460">
        <v>1000</v>
      </c>
      <c r="J460">
        <v>2500</v>
      </c>
      <c r="K460">
        <f t="shared" si="70"/>
        <v>420000</v>
      </c>
      <c r="L460">
        <f t="shared" si="71"/>
        <v>168000</v>
      </c>
      <c r="M460">
        <f t="shared" si="72"/>
        <v>252000</v>
      </c>
      <c r="N460" s="4">
        <f t="shared" si="73"/>
        <v>0.6</v>
      </c>
      <c r="O460" t="str">
        <f t="shared" si="74"/>
        <v>Normal</v>
      </c>
      <c r="P460" t="str">
        <f t="shared" si="75"/>
        <v/>
      </c>
      <c r="Q460" t="str">
        <f t="shared" si="76"/>
        <v/>
      </c>
      <c r="S460">
        <f t="shared" si="77"/>
        <v>116</v>
      </c>
      <c r="T460" t="str">
        <f t="shared" si="78"/>
        <v>0-30 Days</v>
      </c>
      <c r="U460">
        <f t="shared" si="79"/>
        <v>32000</v>
      </c>
      <c r="V460">
        <f>tbl_inventory[[#This Row],[Units_Sold]]*tbl_inventory[[#This Row],[Revenue]]</f>
        <v>70560000</v>
      </c>
    </row>
    <row r="461" spans="1:22" x14ac:dyDescent="0.25">
      <c r="A461" s="2" t="s">
        <v>29</v>
      </c>
      <c r="B461" t="s">
        <v>62</v>
      </c>
      <c r="C461" t="s">
        <v>63</v>
      </c>
      <c r="D461" t="s">
        <v>64</v>
      </c>
      <c r="E461" s="2">
        <v>45748</v>
      </c>
      <c r="F461" s="3">
        <v>154</v>
      </c>
      <c r="G461">
        <v>33</v>
      </c>
      <c r="H461">
        <v>121</v>
      </c>
      <c r="I461">
        <v>1000</v>
      </c>
      <c r="J461">
        <v>2500</v>
      </c>
      <c r="K461">
        <f t="shared" si="70"/>
        <v>82500</v>
      </c>
      <c r="L461">
        <f t="shared" si="71"/>
        <v>33000</v>
      </c>
      <c r="M461">
        <f t="shared" si="72"/>
        <v>49500</v>
      </c>
      <c r="N461" s="4">
        <f t="shared" si="73"/>
        <v>0.6</v>
      </c>
      <c r="O461" t="str">
        <f t="shared" si="74"/>
        <v>Normal</v>
      </c>
      <c r="P461" t="str">
        <f t="shared" si="75"/>
        <v/>
      </c>
      <c r="Q461" t="str">
        <f t="shared" si="76"/>
        <v/>
      </c>
      <c r="S461">
        <f t="shared" si="77"/>
        <v>137.5</v>
      </c>
      <c r="T461" t="str">
        <f t="shared" si="78"/>
        <v>60-90 Days</v>
      </c>
      <c r="U461">
        <f t="shared" si="79"/>
        <v>121000</v>
      </c>
      <c r="V461">
        <f>tbl_inventory[[#This Row],[Units_Sold]]*tbl_inventory[[#This Row],[Revenue]]</f>
        <v>2722500</v>
      </c>
    </row>
    <row r="462" spans="1:22" x14ac:dyDescent="0.25">
      <c r="A462" s="2" t="s">
        <v>29</v>
      </c>
      <c r="B462" t="s">
        <v>62</v>
      </c>
      <c r="C462" t="s">
        <v>63</v>
      </c>
      <c r="D462" t="s">
        <v>64</v>
      </c>
      <c r="E462" s="2">
        <v>45778</v>
      </c>
      <c r="F462" s="3">
        <v>85</v>
      </c>
      <c r="G462">
        <v>61</v>
      </c>
      <c r="H462">
        <v>24</v>
      </c>
      <c r="I462">
        <v>1000</v>
      </c>
      <c r="J462">
        <v>2500</v>
      </c>
      <c r="K462">
        <f t="shared" si="70"/>
        <v>152500</v>
      </c>
      <c r="L462">
        <f t="shared" si="71"/>
        <v>61000</v>
      </c>
      <c r="M462">
        <f t="shared" si="72"/>
        <v>91500</v>
      </c>
      <c r="N462" s="4">
        <f t="shared" si="73"/>
        <v>0.6</v>
      </c>
      <c r="O462" t="str">
        <f t="shared" si="74"/>
        <v>Normal</v>
      </c>
      <c r="P462" t="str">
        <f t="shared" si="75"/>
        <v/>
      </c>
      <c r="Q462" t="str">
        <f t="shared" si="76"/>
        <v/>
      </c>
      <c r="S462">
        <f t="shared" si="77"/>
        <v>54.5</v>
      </c>
      <c r="T462" t="str">
        <f t="shared" si="78"/>
        <v>0-30 Days</v>
      </c>
      <c r="U462">
        <f t="shared" si="79"/>
        <v>24000</v>
      </c>
      <c r="V462">
        <f>tbl_inventory[[#This Row],[Units_Sold]]*tbl_inventory[[#This Row],[Revenue]]</f>
        <v>9302500</v>
      </c>
    </row>
    <row r="463" spans="1:22" x14ac:dyDescent="0.25">
      <c r="A463" s="2" t="s">
        <v>29</v>
      </c>
      <c r="B463" t="s">
        <v>62</v>
      </c>
      <c r="C463" t="s">
        <v>63</v>
      </c>
      <c r="D463" t="s">
        <v>64</v>
      </c>
      <c r="E463" s="2">
        <v>45809</v>
      </c>
      <c r="F463" s="3">
        <v>157</v>
      </c>
      <c r="G463">
        <v>1</v>
      </c>
      <c r="H463">
        <v>156</v>
      </c>
      <c r="I463">
        <v>1000</v>
      </c>
      <c r="J463">
        <v>2500</v>
      </c>
      <c r="K463">
        <f t="shared" si="70"/>
        <v>2500</v>
      </c>
      <c r="L463">
        <f t="shared" si="71"/>
        <v>1000</v>
      </c>
      <c r="M463">
        <f t="shared" si="72"/>
        <v>1500</v>
      </c>
      <c r="N463" s="4">
        <f t="shared" si="73"/>
        <v>0.6</v>
      </c>
      <c r="O463" t="str">
        <f t="shared" si="74"/>
        <v>Slow Moving</v>
      </c>
      <c r="P463" t="str">
        <f t="shared" si="75"/>
        <v/>
      </c>
      <c r="Q463" t="str">
        <f t="shared" si="76"/>
        <v/>
      </c>
      <c r="S463">
        <f t="shared" si="77"/>
        <v>156.5</v>
      </c>
      <c r="T463" t="str">
        <f t="shared" si="78"/>
        <v>60-90 Days</v>
      </c>
      <c r="U463">
        <f t="shared" si="79"/>
        <v>156000</v>
      </c>
      <c r="V463">
        <f>tbl_inventory[[#This Row],[Units_Sold]]*tbl_inventory[[#This Row],[Revenue]]</f>
        <v>2500</v>
      </c>
    </row>
    <row r="464" spans="1:22" x14ac:dyDescent="0.25">
      <c r="A464" s="2" t="s">
        <v>29</v>
      </c>
      <c r="B464" t="s">
        <v>62</v>
      </c>
      <c r="C464" t="s">
        <v>63</v>
      </c>
      <c r="D464" t="s">
        <v>65</v>
      </c>
      <c r="E464" s="2">
        <v>45658</v>
      </c>
      <c r="F464" s="3">
        <v>61</v>
      </c>
      <c r="G464">
        <v>59</v>
      </c>
      <c r="H464">
        <v>2</v>
      </c>
      <c r="I464">
        <v>1000</v>
      </c>
      <c r="J464">
        <v>2500</v>
      </c>
      <c r="K464">
        <f t="shared" si="70"/>
        <v>147500</v>
      </c>
      <c r="L464">
        <f t="shared" si="71"/>
        <v>59000</v>
      </c>
      <c r="M464">
        <f t="shared" si="72"/>
        <v>88500</v>
      </c>
      <c r="N464" s="4">
        <f t="shared" si="73"/>
        <v>0.6</v>
      </c>
      <c r="O464" t="str">
        <f t="shared" si="74"/>
        <v>Normal</v>
      </c>
      <c r="P464" t="str">
        <f t="shared" si="75"/>
        <v/>
      </c>
      <c r="Q464" t="str">
        <f t="shared" si="76"/>
        <v/>
      </c>
      <c r="S464">
        <f t="shared" si="77"/>
        <v>31.5</v>
      </c>
      <c r="T464" t="str">
        <f t="shared" si="78"/>
        <v>0-30 Days</v>
      </c>
      <c r="U464">
        <f t="shared" si="79"/>
        <v>2000</v>
      </c>
      <c r="V464">
        <f>tbl_inventory[[#This Row],[Units_Sold]]*tbl_inventory[[#This Row],[Revenue]]</f>
        <v>8702500</v>
      </c>
    </row>
    <row r="465" spans="1:22" x14ac:dyDescent="0.25">
      <c r="A465" s="2" t="s">
        <v>29</v>
      </c>
      <c r="B465" t="s">
        <v>62</v>
      </c>
      <c r="C465" t="s">
        <v>63</v>
      </c>
      <c r="D465" t="s">
        <v>65</v>
      </c>
      <c r="E465" s="2">
        <v>45689</v>
      </c>
      <c r="F465" s="3">
        <v>68</v>
      </c>
      <c r="G465">
        <v>5</v>
      </c>
      <c r="H465">
        <v>63</v>
      </c>
      <c r="I465">
        <v>1000</v>
      </c>
      <c r="J465">
        <v>2500</v>
      </c>
      <c r="K465">
        <f t="shared" si="70"/>
        <v>12500</v>
      </c>
      <c r="L465">
        <f t="shared" si="71"/>
        <v>5000</v>
      </c>
      <c r="M465">
        <f t="shared" si="72"/>
        <v>7500</v>
      </c>
      <c r="N465" s="4">
        <f t="shared" si="73"/>
        <v>0.6</v>
      </c>
      <c r="O465" t="str">
        <f t="shared" si="74"/>
        <v>Slow Moving</v>
      </c>
      <c r="P465" t="str">
        <f t="shared" si="75"/>
        <v/>
      </c>
      <c r="Q465" t="str">
        <f t="shared" si="76"/>
        <v/>
      </c>
      <c r="S465">
        <f t="shared" si="77"/>
        <v>65.5</v>
      </c>
      <c r="T465" t="str">
        <f t="shared" si="78"/>
        <v>30-60 Days</v>
      </c>
      <c r="U465">
        <f t="shared" si="79"/>
        <v>63000</v>
      </c>
      <c r="V465">
        <f>tbl_inventory[[#This Row],[Units_Sold]]*tbl_inventory[[#This Row],[Revenue]]</f>
        <v>62500</v>
      </c>
    </row>
    <row r="466" spans="1:22" x14ac:dyDescent="0.25">
      <c r="A466" s="2" t="s">
        <v>29</v>
      </c>
      <c r="B466" t="s">
        <v>62</v>
      </c>
      <c r="C466" t="s">
        <v>63</v>
      </c>
      <c r="D466" t="s">
        <v>65</v>
      </c>
      <c r="E466" s="2">
        <v>45717</v>
      </c>
      <c r="F466" s="3">
        <v>127</v>
      </c>
      <c r="G466">
        <v>89</v>
      </c>
      <c r="H466">
        <v>38</v>
      </c>
      <c r="I466">
        <v>1000</v>
      </c>
      <c r="J466">
        <v>2500</v>
      </c>
      <c r="K466">
        <f t="shared" si="70"/>
        <v>222500</v>
      </c>
      <c r="L466">
        <f t="shared" si="71"/>
        <v>89000</v>
      </c>
      <c r="M466">
        <f t="shared" si="72"/>
        <v>133500</v>
      </c>
      <c r="N466" s="4">
        <f t="shared" si="73"/>
        <v>0.6</v>
      </c>
      <c r="O466" t="str">
        <f t="shared" si="74"/>
        <v>Normal</v>
      </c>
      <c r="P466" t="str">
        <f t="shared" si="75"/>
        <v/>
      </c>
      <c r="Q466" t="str">
        <f t="shared" si="76"/>
        <v/>
      </c>
      <c r="S466">
        <f t="shared" si="77"/>
        <v>82.5</v>
      </c>
      <c r="T466" t="str">
        <f t="shared" si="78"/>
        <v>0-30 Days</v>
      </c>
      <c r="U466">
        <f t="shared" si="79"/>
        <v>38000</v>
      </c>
      <c r="V466">
        <f>tbl_inventory[[#This Row],[Units_Sold]]*tbl_inventory[[#This Row],[Revenue]]</f>
        <v>19802500</v>
      </c>
    </row>
    <row r="467" spans="1:22" x14ac:dyDescent="0.25">
      <c r="A467" s="2" t="s">
        <v>29</v>
      </c>
      <c r="B467" t="s">
        <v>62</v>
      </c>
      <c r="C467" t="s">
        <v>63</v>
      </c>
      <c r="D467" t="s">
        <v>65</v>
      </c>
      <c r="E467" s="2">
        <v>45748</v>
      </c>
      <c r="F467" s="3">
        <v>161</v>
      </c>
      <c r="G467">
        <v>113</v>
      </c>
      <c r="H467">
        <v>48</v>
      </c>
      <c r="I467">
        <v>1000</v>
      </c>
      <c r="J467">
        <v>2500</v>
      </c>
      <c r="K467">
        <f t="shared" si="70"/>
        <v>282500</v>
      </c>
      <c r="L467">
        <f t="shared" si="71"/>
        <v>113000</v>
      </c>
      <c r="M467">
        <f t="shared" si="72"/>
        <v>169500</v>
      </c>
      <c r="N467" s="4">
        <f t="shared" si="73"/>
        <v>0.6</v>
      </c>
      <c r="O467" t="str">
        <f t="shared" si="74"/>
        <v>Normal</v>
      </c>
      <c r="P467" t="str">
        <f t="shared" si="75"/>
        <v/>
      </c>
      <c r="Q467" t="str">
        <f t="shared" si="76"/>
        <v/>
      </c>
      <c r="S467">
        <f t="shared" si="77"/>
        <v>104.5</v>
      </c>
      <c r="T467" t="str">
        <f t="shared" si="78"/>
        <v>0-30 Days</v>
      </c>
      <c r="U467">
        <f t="shared" si="79"/>
        <v>48000</v>
      </c>
      <c r="V467">
        <f>tbl_inventory[[#This Row],[Units_Sold]]*tbl_inventory[[#This Row],[Revenue]]</f>
        <v>31922500</v>
      </c>
    </row>
    <row r="468" spans="1:22" x14ac:dyDescent="0.25">
      <c r="A468" s="2" t="s">
        <v>29</v>
      </c>
      <c r="B468" t="s">
        <v>62</v>
      </c>
      <c r="C468" t="s">
        <v>63</v>
      </c>
      <c r="D468" t="s">
        <v>65</v>
      </c>
      <c r="E468" s="2">
        <v>45778</v>
      </c>
      <c r="F468" s="3">
        <v>91</v>
      </c>
      <c r="G468">
        <v>7</v>
      </c>
      <c r="H468">
        <v>84</v>
      </c>
      <c r="I468">
        <v>1000</v>
      </c>
      <c r="J468">
        <v>2500</v>
      </c>
      <c r="K468">
        <f t="shared" si="70"/>
        <v>17500</v>
      </c>
      <c r="L468">
        <f t="shared" si="71"/>
        <v>7000</v>
      </c>
      <c r="M468">
        <f t="shared" si="72"/>
        <v>10500</v>
      </c>
      <c r="N468" s="4">
        <f t="shared" si="73"/>
        <v>0.6</v>
      </c>
      <c r="O468" t="str">
        <f t="shared" si="74"/>
        <v>Slow Moving</v>
      </c>
      <c r="P468" t="str">
        <f t="shared" si="75"/>
        <v/>
      </c>
      <c r="Q468" t="str">
        <f t="shared" si="76"/>
        <v/>
      </c>
      <c r="S468">
        <f t="shared" si="77"/>
        <v>87.5</v>
      </c>
      <c r="T468" t="str">
        <f t="shared" si="78"/>
        <v>30-60 Days</v>
      </c>
      <c r="U468">
        <f t="shared" si="79"/>
        <v>84000</v>
      </c>
      <c r="V468">
        <f>tbl_inventory[[#This Row],[Units_Sold]]*tbl_inventory[[#This Row],[Revenue]]</f>
        <v>122500</v>
      </c>
    </row>
    <row r="469" spans="1:22" x14ac:dyDescent="0.25">
      <c r="A469" s="2" t="s">
        <v>29</v>
      </c>
      <c r="B469" t="s">
        <v>62</v>
      </c>
      <c r="C469" t="s">
        <v>63</v>
      </c>
      <c r="D469" t="s">
        <v>65</v>
      </c>
      <c r="E469" s="2">
        <v>45809</v>
      </c>
      <c r="F469" s="3">
        <v>50</v>
      </c>
      <c r="G469">
        <v>36</v>
      </c>
      <c r="H469">
        <v>14</v>
      </c>
      <c r="I469">
        <v>1000</v>
      </c>
      <c r="J469">
        <v>2500</v>
      </c>
      <c r="K469">
        <f t="shared" si="70"/>
        <v>90000</v>
      </c>
      <c r="L469">
        <f t="shared" si="71"/>
        <v>36000</v>
      </c>
      <c r="M469">
        <f t="shared" si="72"/>
        <v>54000</v>
      </c>
      <c r="N469" s="4">
        <f t="shared" si="73"/>
        <v>0.6</v>
      </c>
      <c r="O469" t="str">
        <f t="shared" si="74"/>
        <v>Normal</v>
      </c>
      <c r="P469" t="str">
        <f t="shared" si="75"/>
        <v/>
      </c>
      <c r="Q469" t="str">
        <f t="shared" si="76"/>
        <v/>
      </c>
      <c r="S469">
        <f t="shared" si="77"/>
        <v>32</v>
      </c>
      <c r="T469" t="str">
        <f t="shared" si="78"/>
        <v>0-30 Days</v>
      </c>
      <c r="U469">
        <f t="shared" si="79"/>
        <v>14000</v>
      </c>
      <c r="V469">
        <f>tbl_inventory[[#This Row],[Units_Sold]]*tbl_inventory[[#This Row],[Revenue]]</f>
        <v>3240000</v>
      </c>
    </row>
    <row r="470" spans="1:22" x14ac:dyDescent="0.25">
      <c r="A470" s="2" t="s">
        <v>29</v>
      </c>
      <c r="B470" t="s">
        <v>62</v>
      </c>
      <c r="C470" t="s">
        <v>63</v>
      </c>
      <c r="D470" t="s">
        <v>66</v>
      </c>
      <c r="E470" s="2">
        <v>45658</v>
      </c>
      <c r="F470" s="3">
        <v>188</v>
      </c>
      <c r="G470">
        <v>106</v>
      </c>
      <c r="H470">
        <v>82</v>
      </c>
      <c r="I470">
        <v>1000</v>
      </c>
      <c r="J470">
        <v>2500</v>
      </c>
      <c r="K470">
        <f t="shared" si="70"/>
        <v>265000</v>
      </c>
      <c r="L470">
        <f t="shared" si="71"/>
        <v>106000</v>
      </c>
      <c r="M470">
        <f t="shared" si="72"/>
        <v>159000</v>
      </c>
      <c r="N470" s="4">
        <f t="shared" si="73"/>
        <v>0.6</v>
      </c>
      <c r="O470" t="str">
        <f t="shared" si="74"/>
        <v>Normal</v>
      </c>
      <c r="P470" t="str">
        <f t="shared" si="75"/>
        <v/>
      </c>
      <c r="Q470" t="str">
        <f t="shared" si="76"/>
        <v/>
      </c>
      <c r="S470">
        <f t="shared" si="77"/>
        <v>135</v>
      </c>
      <c r="T470" t="str">
        <f t="shared" si="78"/>
        <v>30-60 Days</v>
      </c>
      <c r="U470">
        <f t="shared" si="79"/>
        <v>82000</v>
      </c>
      <c r="V470">
        <f>tbl_inventory[[#This Row],[Units_Sold]]*tbl_inventory[[#This Row],[Revenue]]</f>
        <v>28090000</v>
      </c>
    </row>
    <row r="471" spans="1:22" x14ac:dyDescent="0.25">
      <c r="A471" s="2" t="s">
        <v>29</v>
      </c>
      <c r="B471" t="s">
        <v>62</v>
      </c>
      <c r="C471" t="s">
        <v>63</v>
      </c>
      <c r="D471" t="s">
        <v>66</v>
      </c>
      <c r="E471" s="2">
        <v>45689</v>
      </c>
      <c r="F471" s="3">
        <v>151</v>
      </c>
      <c r="G471">
        <v>147</v>
      </c>
      <c r="H471">
        <v>4</v>
      </c>
      <c r="I471">
        <v>1000</v>
      </c>
      <c r="J471">
        <v>2500</v>
      </c>
      <c r="K471">
        <f t="shared" si="70"/>
        <v>367500</v>
      </c>
      <c r="L471">
        <f t="shared" si="71"/>
        <v>147000</v>
      </c>
      <c r="M471">
        <f t="shared" si="72"/>
        <v>220500</v>
      </c>
      <c r="N471" s="4">
        <f t="shared" si="73"/>
        <v>0.6</v>
      </c>
      <c r="O471" t="str">
        <f t="shared" si="74"/>
        <v>Normal</v>
      </c>
      <c r="P471" t="str">
        <f t="shared" si="75"/>
        <v/>
      </c>
      <c r="Q471" t="str">
        <f t="shared" si="76"/>
        <v/>
      </c>
      <c r="S471">
        <f t="shared" si="77"/>
        <v>77.5</v>
      </c>
      <c r="T471" t="str">
        <f t="shared" si="78"/>
        <v>0-30 Days</v>
      </c>
      <c r="U471">
        <f t="shared" si="79"/>
        <v>4000</v>
      </c>
      <c r="V471">
        <f>tbl_inventory[[#This Row],[Units_Sold]]*tbl_inventory[[#This Row],[Revenue]]</f>
        <v>54022500</v>
      </c>
    </row>
    <row r="472" spans="1:22" x14ac:dyDescent="0.25">
      <c r="A472" s="2" t="s">
        <v>29</v>
      </c>
      <c r="B472" t="s">
        <v>62</v>
      </c>
      <c r="C472" t="s">
        <v>63</v>
      </c>
      <c r="D472" t="s">
        <v>66</v>
      </c>
      <c r="E472" s="2">
        <v>45717</v>
      </c>
      <c r="F472" s="3">
        <v>135</v>
      </c>
      <c r="G472">
        <v>37</v>
      </c>
      <c r="H472">
        <v>98</v>
      </c>
      <c r="I472">
        <v>1000</v>
      </c>
      <c r="J472">
        <v>2500</v>
      </c>
      <c r="K472">
        <f t="shared" si="70"/>
        <v>92500</v>
      </c>
      <c r="L472">
        <f t="shared" si="71"/>
        <v>37000</v>
      </c>
      <c r="M472">
        <f t="shared" si="72"/>
        <v>55500</v>
      </c>
      <c r="N472" s="4">
        <f t="shared" si="73"/>
        <v>0.6</v>
      </c>
      <c r="O472" t="str">
        <f t="shared" si="74"/>
        <v>Normal</v>
      </c>
      <c r="P472" t="str">
        <f t="shared" si="75"/>
        <v/>
      </c>
      <c r="Q472" t="str">
        <f t="shared" si="76"/>
        <v/>
      </c>
      <c r="S472">
        <f t="shared" si="77"/>
        <v>116.5</v>
      </c>
      <c r="T472" t="str">
        <f t="shared" si="78"/>
        <v>30-60 Days</v>
      </c>
      <c r="U472">
        <f t="shared" si="79"/>
        <v>98000</v>
      </c>
      <c r="V472">
        <f>tbl_inventory[[#This Row],[Units_Sold]]*tbl_inventory[[#This Row],[Revenue]]</f>
        <v>3422500</v>
      </c>
    </row>
    <row r="473" spans="1:22" x14ac:dyDescent="0.25">
      <c r="A473" s="2" t="s">
        <v>29</v>
      </c>
      <c r="B473" t="s">
        <v>62</v>
      </c>
      <c r="C473" t="s">
        <v>63</v>
      </c>
      <c r="D473" t="s">
        <v>66</v>
      </c>
      <c r="E473" s="2">
        <v>45748</v>
      </c>
      <c r="F473" s="3">
        <v>90</v>
      </c>
      <c r="G473">
        <v>88</v>
      </c>
      <c r="H473">
        <v>2</v>
      </c>
      <c r="I473">
        <v>1000</v>
      </c>
      <c r="J473">
        <v>2500</v>
      </c>
      <c r="K473">
        <f t="shared" si="70"/>
        <v>220000</v>
      </c>
      <c r="L473">
        <f t="shared" si="71"/>
        <v>88000</v>
      </c>
      <c r="M473">
        <f t="shared" si="72"/>
        <v>132000</v>
      </c>
      <c r="N473" s="4">
        <f t="shared" si="73"/>
        <v>0.6</v>
      </c>
      <c r="O473" t="str">
        <f t="shared" si="74"/>
        <v>Normal</v>
      </c>
      <c r="P473" t="str">
        <f t="shared" si="75"/>
        <v/>
      </c>
      <c r="Q473" t="str">
        <f t="shared" si="76"/>
        <v/>
      </c>
      <c r="S473">
        <f t="shared" si="77"/>
        <v>46</v>
      </c>
      <c r="T473" t="str">
        <f t="shared" si="78"/>
        <v>0-30 Days</v>
      </c>
      <c r="U473">
        <f t="shared" si="79"/>
        <v>2000</v>
      </c>
      <c r="V473">
        <f>tbl_inventory[[#This Row],[Units_Sold]]*tbl_inventory[[#This Row],[Revenue]]</f>
        <v>19360000</v>
      </c>
    </row>
    <row r="474" spans="1:22" x14ac:dyDescent="0.25">
      <c r="A474" s="2" t="s">
        <v>29</v>
      </c>
      <c r="B474" t="s">
        <v>62</v>
      </c>
      <c r="C474" t="s">
        <v>63</v>
      </c>
      <c r="D474" t="s">
        <v>66</v>
      </c>
      <c r="E474" s="2">
        <v>45778</v>
      </c>
      <c r="F474" s="3">
        <v>89</v>
      </c>
      <c r="G474">
        <v>54</v>
      </c>
      <c r="H474">
        <v>35</v>
      </c>
      <c r="I474">
        <v>1000</v>
      </c>
      <c r="J474">
        <v>2500</v>
      </c>
      <c r="K474">
        <f t="shared" si="70"/>
        <v>135000</v>
      </c>
      <c r="L474">
        <f t="shared" si="71"/>
        <v>54000</v>
      </c>
      <c r="M474">
        <f t="shared" si="72"/>
        <v>81000</v>
      </c>
      <c r="N474" s="4">
        <f t="shared" si="73"/>
        <v>0.6</v>
      </c>
      <c r="O474" t="str">
        <f t="shared" si="74"/>
        <v>Normal</v>
      </c>
      <c r="P474" t="str">
        <f t="shared" si="75"/>
        <v/>
      </c>
      <c r="Q474" t="str">
        <f t="shared" si="76"/>
        <v/>
      </c>
      <c r="S474">
        <f t="shared" si="77"/>
        <v>62</v>
      </c>
      <c r="T474" t="str">
        <f t="shared" si="78"/>
        <v>0-30 Days</v>
      </c>
      <c r="U474">
        <f t="shared" si="79"/>
        <v>35000</v>
      </c>
      <c r="V474">
        <f>tbl_inventory[[#This Row],[Units_Sold]]*tbl_inventory[[#This Row],[Revenue]]</f>
        <v>7290000</v>
      </c>
    </row>
    <row r="475" spans="1:22" x14ac:dyDescent="0.25">
      <c r="A475" s="2" t="s">
        <v>29</v>
      </c>
      <c r="B475" t="s">
        <v>62</v>
      </c>
      <c r="C475" t="s">
        <v>63</v>
      </c>
      <c r="D475" t="s">
        <v>66</v>
      </c>
      <c r="E475" s="2">
        <v>45809</v>
      </c>
      <c r="F475" s="3">
        <v>50</v>
      </c>
      <c r="G475">
        <v>38</v>
      </c>
      <c r="H475">
        <v>12</v>
      </c>
      <c r="I475">
        <v>1000</v>
      </c>
      <c r="J475">
        <v>2500</v>
      </c>
      <c r="K475">
        <f t="shared" si="70"/>
        <v>95000</v>
      </c>
      <c r="L475">
        <f t="shared" si="71"/>
        <v>38000</v>
      </c>
      <c r="M475">
        <f t="shared" si="72"/>
        <v>57000</v>
      </c>
      <c r="N475" s="4">
        <f t="shared" si="73"/>
        <v>0.6</v>
      </c>
      <c r="O475" t="str">
        <f t="shared" si="74"/>
        <v>Normal</v>
      </c>
      <c r="P475" t="str">
        <f t="shared" si="75"/>
        <v/>
      </c>
      <c r="Q475" t="str">
        <f t="shared" si="76"/>
        <v/>
      </c>
      <c r="S475">
        <f t="shared" si="77"/>
        <v>31</v>
      </c>
      <c r="T475" t="str">
        <f t="shared" si="78"/>
        <v>0-30 Days</v>
      </c>
      <c r="U475">
        <f t="shared" si="79"/>
        <v>12000</v>
      </c>
      <c r="V475">
        <f>tbl_inventory[[#This Row],[Units_Sold]]*tbl_inventory[[#This Row],[Revenue]]</f>
        <v>3610000</v>
      </c>
    </row>
    <row r="476" spans="1:22" x14ac:dyDescent="0.25">
      <c r="A476" s="2" t="s">
        <v>29</v>
      </c>
      <c r="B476" t="s">
        <v>62</v>
      </c>
      <c r="C476" t="s">
        <v>63</v>
      </c>
      <c r="D476" t="s">
        <v>67</v>
      </c>
      <c r="E476" s="2">
        <v>45658</v>
      </c>
      <c r="F476" s="3">
        <v>145</v>
      </c>
      <c r="G476">
        <v>102</v>
      </c>
      <c r="H476">
        <v>43</v>
      </c>
      <c r="I476">
        <v>1000</v>
      </c>
      <c r="J476">
        <v>2500</v>
      </c>
      <c r="K476">
        <f t="shared" si="70"/>
        <v>255000</v>
      </c>
      <c r="L476">
        <f t="shared" si="71"/>
        <v>102000</v>
      </c>
      <c r="M476">
        <f t="shared" si="72"/>
        <v>153000</v>
      </c>
      <c r="N476" s="4">
        <f t="shared" si="73"/>
        <v>0.6</v>
      </c>
      <c r="O476" t="str">
        <f t="shared" si="74"/>
        <v>Normal</v>
      </c>
      <c r="P476" t="str">
        <f t="shared" si="75"/>
        <v/>
      </c>
      <c r="Q476" t="str">
        <f t="shared" si="76"/>
        <v/>
      </c>
      <c r="S476">
        <f t="shared" si="77"/>
        <v>94</v>
      </c>
      <c r="T476" t="str">
        <f t="shared" si="78"/>
        <v>0-30 Days</v>
      </c>
      <c r="U476">
        <f t="shared" si="79"/>
        <v>43000</v>
      </c>
      <c r="V476">
        <f>tbl_inventory[[#This Row],[Units_Sold]]*tbl_inventory[[#This Row],[Revenue]]</f>
        <v>26010000</v>
      </c>
    </row>
    <row r="477" spans="1:22" x14ac:dyDescent="0.25">
      <c r="A477" s="2" t="s">
        <v>29</v>
      </c>
      <c r="B477" t="s">
        <v>62</v>
      </c>
      <c r="C477" t="s">
        <v>63</v>
      </c>
      <c r="D477" t="s">
        <v>67</v>
      </c>
      <c r="E477" s="2">
        <v>45689</v>
      </c>
      <c r="F477" s="3">
        <v>58</v>
      </c>
      <c r="G477">
        <v>32</v>
      </c>
      <c r="H477">
        <v>26</v>
      </c>
      <c r="I477">
        <v>1000</v>
      </c>
      <c r="J477">
        <v>2500</v>
      </c>
      <c r="K477">
        <f t="shared" si="70"/>
        <v>80000</v>
      </c>
      <c r="L477">
        <f t="shared" si="71"/>
        <v>32000</v>
      </c>
      <c r="M477">
        <f t="shared" si="72"/>
        <v>48000</v>
      </c>
      <c r="N477" s="4">
        <f t="shared" si="73"/>
        <v>0.6</v>
      </c>
      <c r="O477" t="str">
        <f t="shared" si="74"/>
        <v>Normal</v>
      </c>
      <c r="P477" t="str">
        <f t="shared" si="75"/>
        <v/>
      </c>
      <c r="Q477" t="str">
        <f t="shared" si="76"/>
        <v/>
      </c>
      <c r="S477">
        <f t="shared" si="77"/>
        <v>42</v>
      </c>
      <c r="T477" t="str">
        <f t="shared" si="78"/>
        <v>0-30 Days</v>
      </c>
      <c r="U477">
        <f t="shared" si="79"/>
        <v>26000</v>
      </c>
      <c r="V477">
        <f>tbl_inventory[[#This Row],[Units_Sold]]*tbl_inventory[[#This Row],[Revenue]]</f>
        <v>2560000</v>
      </c>
    </row>
    <row r="478" spans="1:22" x14ac:dyDescent="0.25">
      <c r="A478" s="2" t="s">
        <v>29</v>
      </c>
      <c r="B478" t="s">
        <v>62</v>
      </c>
      <c r="C478" t="s">
        <v>63</v>
      </c>
      <c r="D478" t="s">
        <v>67</v>
      </c>
      <c r="E478" s="2">
        <v>45717</v>
      </c>
      <c r="F478" s="3">
        <v>123</v>
      </c>
      <c r="G478">
        <v>39</v>
      </c>
      <c r="H478">
        <v>84</v>
      </c>
      <c r="I478">
        <v>1000</v>
      </c>
      <c r="J478">
        <v>2500</v>
      </c>
      <c r="K478">
        <f t="shared" si="70"/>
        <v>97500</v>
      </c>
      <c r="L478">
        <f t="shared" si="71"/>
        <v>39000</v>
      </c>
      <c r="M478">
        <f t="shared" si="72"/>
        <v>58500</v>
      </c>
      <c r="N478" s="4">
        <f t="shared" si="73"/>
        <v>0.6</v>
      </c>
      <c r="O478" t="str">
        <f t="shared" si="74"/>
        <v>Normal</v>
      </c>
      <c r="P478" t="str">
        <f t="shared" si="75"/>
        <v/>
      </c>
      <c r="Q478" t="str">
        <f t="shared" si="76"/>
        <v/>
      </c>
      <c r="S478">
        <f t="shared" si="77"/>
        <v>103.5</v>
      </c>
      <c r="T478" t="str">
        <f t="shared" si="78"/>
        <v>30-60 Days</v>
      </c>
      <c r="U478">
        <f t="shared" si="79"/>
        <v>84000</v>
      </c>
      <c r="V478">
        <f>tbl_inventory[[#This Row],[Units_Sold]]*tbl_inventory[[#This Row],[Revenue]]</f>
        <v>3802500</v>
      </c>
    </row>
    <row r="479" spans="1:22" x14ac:dyDescent="0.25">
      <c r="A479" s="2" t="s">
        <v>29</v>
      </c>
      <c r="B479" t="s">
        <v>62</v>
      </c>
      <c r="C479" t="s">
        <v>63</v>
      </c>
      <c r="D479" t="s">
        <v>67</v>
      </c>
      <c r="E479" s="2">
        <v>45748</v>
      </c>
      <c r="F479" s="3">
        <v>131</v>
      </c>
      <c r="G479">
        <v>46</v>
      </c>
      <c r="H479">
        <v>85</v>
      </c>
      <c r="I479">
        <v>1000</v>
      </c>
      <c r="J479">
        <v>2500</v>
      </c>
      <c r="K479">
        <f t="shared" si="70"/>
        <v>115000</v>
      </c>
      <c r="L479">
        <f t="shared" si="71"/>
        <v>46000</v>
      </c>
      <c r="M479">
        <f t="shared" si="72"/>
        <v>69000</v>
      </c>
      <c r="N479" s="4">
        <f t="shared" si="73"/>
        <v>0.6</v>
      </c>
      <c r="O479" t="str">
        <f t="shared" si="74"/>
        <v>Normal</v>
      </c>
      <c r="P479" t="str">
        <f t="shared" si="75"/>
        <v/>
      </c>
      <c r="Q479" t="str">
        <f t="shared" si="76"/>
        <v/>
      </c>
      <c r="S479">
        <f t="shared" si="77"/>
        <v>108</v>
      </c>
      <c r="T479" t="str">
        <f t="shared" si="78"/>
        <v>30-60 Days</v>
      </c>
      <c r="U479">
        <f t="shared" si="79"/>
        <v>85000</v>
      </c>
      <c r="V479">
        <f>tbl_inventory[[#This Row],[Units_Sold]]*tbl_inventory[[#This Row],[Revenue]]</f>
        <v>5290000</v>
      </c>
    </row>
    <row r="480" spans="1:22" x14ac:dyDescent="0.25">
      <c r="A480" s="2" t="s">
        <v>29</v>
      </c>
      <c r="B480" t="s">
        <v>62</v>
      </c>
      <c r="C480" t="s">
        <v>63</v>
      </c>
      <c r="D480" t="s">
        <v>67</v>
      </c>
      <c r="E480" s="2">
        <v>45778</v>
      </c>
      <c r="F480" s="3">
        <v>113</v>
      </c>
      <c r="G480">
        <v>53</v>
      </c>
      <c r="H480">
        <v>60</v>
      </c>
      <c r="I480">
        <v>1000</v>
      </c>
      <c r="J480">
        <v>2500</v>
      </c>
      <c r="K480">
        <f t="shared" si="70"/>
        <v>132500</v>
      </c>
      <c r="L480">
        <f t="shared" si="71"/>
        <v>53000</v>
      </c>
      <c r="M480">
        <f t="shared" si="72"/>
        <v>79500</v>
      </c>
      <c r="N480" s="4">
        <f t="shared" si="73"/>
        <v>0.6</v>
      </c>
      <c r="O480" t="str">
        <f t="shared" si="74"/>
        <v>Normal</v>
      </c>
      <c r="P480" t="str">
        <f t="shared" si="75"/>
        <v/>
      </c>
      <c r="Q480" t="str">
        <f t="shared" si="76"/>
        <v/>
      </c>
      <c r="S480">
        <f t="shared" si="77"/>
        <v>86.5</v>
      </c>
      <c r="T480" t="str">
        <f t="shared" si="78"/>
        <v>30-60 Days</v>
      </c>
      <c r="U480">
        <f t="shared" si="79"/>
        <v>60000</v>
      </c>
      <c r="V480">
        <f>tbl_inventory[[#This Row],[Units_Sold]]*tbl_inventory[[#This Row],[Revenue]]</f>
        <v>7022500</v>
      </c>
    </row>
    <row r="481" spans="1:22" x14ac:dyDescent="0.25">
      <c r="A481" s="2" t="s">
        <v>29</v>
      </c>
      <c r="B481" t="s">
        <v>62</v>
      </c>
      <c r="C481" t="s">
        <v>63</v>
      </c>
      <c r="D481" t="s">
        <v>67</v>
      </c>
      <c r="E481" s="2">
        <v>45809</v>
      </c>
      <c r="F481" s="3">
        <v>181</v>
      </c>
      <c r="G481">
        <v>157</v>
      </c>
      <c r="H481">
        <v>24</v>
      </c>
      <c r="I481">
        <v>1000</v>
      </c>
      <c r="J481">
        <v>2500</v>
      </c>
      <c r="K481">
        <f t="shared" si="70"/>
        <v>392500</v>
      </c>
      <c r="L481">
        <f t="shared" si="71"/>
        <v>157000</v>
      </c>
      <c r="M481">
        <f t="shared" si="72"/>
        <v>235500</v>
      </c>
      <c r="N481" s="4">
        <f t="shared" si="73"/>
        <v>0.6</v>
      </c>
      <c r="O481" t="str">
        <f t="shared" si="74"/>
        <v>Normal</v>
      </c>
      <c r="P481" t="str">
        <f t="shared" si="75"/>
        <v/>
      </c>
      <c r="Q481" t="str">
        <f t="shared" si="76"/>
        <v/>
      </c>
      <c r="S481">
        <f t="shared" si="77"/>
        <v>102.5</v>
      </c>
      <c r="T481" t="str">
        <f t="shared" si="78"/>
        <v>0-30 Days</v>
      </c>
      <c r="U481">
        <f t="shared" si="79"/>
        <v>24000</v>
      </c>
      <c r="V481">
        <f>tbl_inventory[[#This Row],[Units_Sold]]*tbl_inventory[[#This Row],[Revenue]]</f>
        <v>61622500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9F134-4BCE-44C3-977D-A688CDFDFF57}">
  <dimension ref="A1:E30"/>
  <sheetViews>
    <sheetView topLeftCell="A16" workbookViewId="0">
      <selection activeCell="E22" sqref="E22"/>
    </sheetView>
  </sheetViews>
  <sheetFormatPr defaultRowHeight="15" x14ac:dyDescent="0.25"/>
  <cols>
    <col min="1" max="1" width="10.7109375" bestFit="1" customWidth="1"/>
    <col min="2" max="2" width="14.28515625" bestFit="1" customWidth="1"/>
    <col min="3" max="3" width="10.5703125" bestFit="1" customWidth="1"/>
    <col min="4" max="4" width="10.28515625" bestFit="1" customWidth="1"/>
    <col min="5" max="5" width="12.42578125" bestFit="1" customWidth="1"/>
  </cols>
  <sheetData>
    <row r="1" spans="1:5" x14ac:dyDescent="0.25">
      <c r="A1" t="s">
        <v>0</v>
      </c>
      <c r="B1" t="s">
        <v>1</v>
      </c>
      <c r="C1" t="s">
        <v>2</v>
      </c>
      <c r="D1" t="s">
        <v>8</v>
      </c>
      <c r="E1" t="s">
        <v>9</v>
      </c>
    </row>
    <row r="2" spans="1:5" x14ac:dyDescent="0.25">
      <c r="A2" t="s">
        <v>11</v>
      </c>
      <c r="B2" t="s">
        <v>39</v>
      </c>
      <c r="C2" t="s">
        <v>44</v>
      </c>
      <c r="D2" s="1">
        <v>40000</v>
      </c>
      <c r="E2">
        <v>50000</v>
      </c>
    </row>
    <row r="3" spans="1:5" x14ac:dyDescent="0.25">
      <c r="A3" t="s">
        <v>10</v>
      </c>
      <c r="B3" t="s">
        <v>40</v>
      </c>
      <c r="C3" t="s">
        <v>44</v>
      </c>
      <c r="D3" s="1">
        <v>15000</v>
      </c>
      <c r="E3">
        <v>20000</v>
      </c>
    </row>
    <row r="4" spans="1:5" x14ac:dyDescent="0.25">
      <c r="A4" t="s">
        <v>12</v>
      </c>
      <c r="B4" t="s">
        <v>48</v>
      </c>
      <c r="C4" t="s">
        <v>44</v>
      </c>
      <c r="D4" s="1">
        <v>30000</v>
      </c>
      <c r="E4">
        <v>38000</v>
      </c>
    </row>
    <row r="5" spans="1:5" x14ac:dyDescent="0.25">
      <c r="A5" t="s">
        <v>13</v>
      </c>
      <c r="B5" t="s">
        <v>49</v>
      </c>
      <c r="C5" t="s">
        <v>44</v>
      </c>
      <c r="D5" s="1">
        <v>2000</v>
      </c>
      <c r="E5">
        <v>3500</v>
      </c>
    </row>
    <row r="6" spans="1:5" x14ac:dyDescent="0.25">
      <c r="A6" t="s">
        <v>14</v>
      </c>
      <c r="B6" t="s">
        <v>50</v>
      </c>
      <c r="C6" t="s">
        <v>45</v>
      </c>
      <c r="D6">
        <v>15000</v>
      </c>
      <c r="E6">
        <v>22000</v>
      </c>
    </row>
    <row r="7" spans="1:5" x14ac:dyDescent="0.25">
      <c r="A7" t="s">
        <v>15</v>
      </c>
      <c r="B7" t="s">
        <v>41</v>
      </c>
      <c r="C7" t="s">
        <v>45</v>
      </c>
      <c r="D7">
        <v>12000</v>
      </c>
      <c r="E7">
        <v>18000</v>
      </c>
    </row>
    <row r="8" spans="1:5" x14ac:dyDescent="0.25">
      <c r="A8" t="s">
        <v>16</v>
      </c>
      <c r="B8" t="s">
        <v>51</v>
      </c>
      <c r="C8" t="s">
        <v>45</v>
      </c>
      <c r="D8" s="1">
        <v>2000</v>
      </c>
      <c r="E8">
        <v>3500</v>
      </c>
    </row>
    <row r="9" spans="1:5" x14ac:dyDescent="0.25">
      <c r="A9" t="s">
        <v>17</v>
      </c>
      <c r="B9" t="s">
        <v>52</v>
      </c>
      <c r="C9" t="s">
        <v>45</v>
      </c>
      <c r="D9" s="1">
        <v>20000</v>
      </c>
      <c r="E9">
        <v>28000</v>
      </c>
    </row>
    <row r="10" spans="1:5" x14ac:dyDescent="0.25">
      <c r="A10" t="s">
        <v>18</v>
      </c>
      <c r="B10" t="s">
        <v>42</v>
      </c>
      <c r="C10" t="s">
        <v>46</v>
      </c>
      <c r="D10">
        <v>40</v>
      </c>
      <c r="E10">
        <v>60</v>
      </c>
    </row>
    <row r="11" spans="1:5" x14ac:dyDescent="0.25">
      <c r="A11" t="s">
        <v>19</v>
      </c>
      <c r="B11" t="s">
        <v>54</v>
      </c>
      <c r="C11" t="s">
        <v>46</v>
      </c>
      <c r="D11">
        <v>90</v>
      </c>
      <c r="E11">
        <v>120</v>
      </c>
    </row>
    <row r="12" spans="1:5" x14ac:dyDescent="0.25">
      <c r="A12" t="s">
        <v>20</v>
      </c>
      <c r="B12" t="s">
        <v>53</v>
      </c>
      <c r="C12" t="s">
        <v>46</v>
      </c>
      <c r="D12">
        <v>35</v>
      </c>
      <c r="E12">
        <v>55</v>
      </c>
    </row>
    <row r="13" spans="1:5" x14ac:dyDescent="0.25">
      <c r="A13" t="s">
        <v>21</v>
      </c>
      <c r="B13" t="s">
        <v>55</v>
      </c>
      <c r="C13" t="s">
        <v>46</v>
      </c>
      <c r="D13">
        <v>30</v>
      </c>
      <c r="E13">
        <v>50</v>
      </c>
    </row>
    <row r="14" spans="1:5" x14ac:dyDescent="0.25">
      <c r="A14" t="s">
        <v>22</v>
      </c>
      <c r="B14" t="s">
        <v>43</v>
      </c>
      <c r="C14" t="s">
        <v>47</v>
      </c>
      <c r="D14">
        <v>300</v>
      </c>
      <c r="E14">
        <v>800</v>
      </c>
    </row>
    <row r="15" spans="1:5" x14ac:dyDescent="0.25">
      <c r="A15" t="s">
        <v>23</v>
      </c>
      <c r="B15" t="s">
        <v>56</v>
      </c>
      <c r="C15" t="s">
        <v>47</v>
      </c>
      <c r="D15">
        <v>800</v>
      </c>
      <c r="E15">
        <v>1500</v>
      </c>
    </row>
    <row r="16" spans="1:5" x14ac:dyDescent="0.25">
      <c r="A16" t="s">
        <v>24</v>
      </c>
      <c r="B16" t="s">
        <v>57</v>
      </c>
      <c r="C16" t="s">
        <v>47</v>
      </c>
      <c r="D16">
        <v>1500</v>
      </c>
      <c r="E16">
        <v>2500</v>
      </c>
    </row>
    <row r="17" spans="1:5" x14ac:dyDescent="0.25">
      <c r="A17" t="s">
        <v>25</v>
      </c>
      <c r="B17" t="s">
        <v>58</v>
      </c>
      <c r="C17" t="s">
        <v>47</v>
      </c>
      <c r="D17">
        <v>400</v>
      </c>
      <c r="E17">
        <v>900</v>
      </c>
    </row>
    <row r="18" spans="1:5" x14ac:dyDescent="0.25">
      <c r="A18" t="s">
        <v>26</v>
      </c>
      <c r="B18" t="s">
        <v>59</v>
      </c>
      <c r="C18" t="s">
        <v>63</v>
      </c>
      <c r="D18">
        <v>200</v>
      </c>
      <c r="E18">
        <v>500</v>
      </c>
    </row>
    <row r="19" spans="1:5" x14ac:dyDescent="0.25">
      <c r="A19" t="s">
        <v>27</v>
      </c>
      <c r="B19" t="s">
        <v>60</v>
      </c>
      <c r="C19" t="s">
        <v>63</v>
      </c>
      <c r="D19">
        <v>300</v>
      </c>
      <c r="E19">
        <v>700</v>
      </c>
    </row>
    <row r="20" spans="1:5" x14ac:dyDescent="0.25">
      <c r="A20" t="s">
        <v>28</v>
      </c>
      <c r="B20" t="s">
        <v>61</v>
      </c>
      <c r="C20" t="s">
        <v>63</v>
      </c>
      <c r="D20">
        <v>2000</v>
      </c>
      <c r="E20">
        <v>4000</v>
      </c>
    </row>
    <row r="21" spans="1:5" x14ac:dyDescent="0.25">
      <c r="A21" t="s">
        <v>29</v>
      </c>
      <c r="B21" t="s">
        <v>62</v>
      </c>
      <c r="C21" t="s">
        <v>63</v>
      </c>
      <c r="D21">
        <v>1000</v>
      </c>
      <c r="E21">
        <v>2500</v>
      </c>
    </row>
    <row r="22" spans="1:5" x14ac:dyDescent="0.25">
      <c r="A22" t="s">
        <v>30</v>
      </c>
    </row>
    <row r="23" spans="1:5" x14ac:dyDescent="0.25">
      <c r="A23" t="s">
        <v>31</v>
      </c>
    </row>
    <row r="24" spans="1:5" x14ac:dyDescent="0.25">
      <c r="A24" t="s">
        <v>32</v>
      </c>
    </row>
    <row r="25" spans="1:5" x14ac:dyDescent="0.25">
      <c r="A25" t="s">
        <v>33</v>
      </c>
    </row>
    <row r="26" spans="1:5" x14ac:dyDescent="0.25">
      <c r="A26" t="s">
        <v>34</v>
      </c>
    </row>
    <row r="27" spans="1:5" x14ac:dyDescent="0.25">
      <c r="A27" t="s">
        <v>35</v>
      </c>
    </row>
    <row r="28" spans="1:5" x14ac:dyDescent="0.25">
      <c r="A28" t="s">
        <v>36</v>
      </c>
    </row>
    <row r="29" spans="1:5" x14ac:dyDescent="0.25">
      <c r="A29" t="s">
        <v>37</v>
      </c>
    </row>
    <row r="30" spans="1:5" x14ac:dyDescent="0.25">
      <c r="A30" t="s">
        <v>38</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2BD88-31B6-4860-9338-70C4F6797E49}">
  <dimension ref="A1:L22"/>
  <sheetViews>
    <sheetView topLeftCell="A8" workbookViewId="0">
      <selection activeCell="D24" sqref="D24"/>
    </sheetView>
  </sheetViews>
  <sheetFormatPr defaultRowHeight="15" x14ac:dyDescent="0.25"/>
  <cols>
    <col min="1" max="1" width="13.140625" bestFit="1" customWidth="1"/>
    <col min="2" max="2" width="12.5703125" bestFit="1" customWidth="1"/>
    <col min="3" max="3" width="15.85546875" bestFit="1" customWidth="1"/>
    <col min="4" max="4" width="15.5703125" bestFit="1" customWidth="1"/>
    <col min="5" max="5" width="17" bestFit="1" customWidth="1"/>
    <col min="6" max="6" width="20" bestFit="1" customWidth="1"/>
    <col min="7" max="7" width="28.42578125" bestFit="1" customWidth="1"/>
    <col min="8" max="8" width="19" bestFit="1" customWidth="1"/>
    <col min="9" max="9" width="24.42578125" bestFit="1" customWidth="1"/>
    <col min="10" max="10" width="16.140625" bestFit="1" customWidth="1"/>
    <col min="11" max="11" width="13.140625" bestFit="1" customWidth="1"/>
    <col min="12" max="12" width="20" bestFit="1" customWidth="1"/>
  </cols>
  <sheetData>
    <row r="1" spans="1:12" x14ac:dyDescent="0.25">
      <c r="A1" s="5" t="s">
        <v>76</v>
      </c>
      <c r="B1" t="s">
        <v>88</v>
      </c>
      <c r="C1" t="s">
        <v>79</v>
      </c>
      <c r="D1" t="s">
        <v>85</v>
      </c>
      <c r="E1" t="s">
        <v>91</v>
      </c>
      <c r="F1" t="s">
        <v>78</v>
      </c>
      <c r="G1" t="s">
        <v>84</v>
      </c>
      <c r="H1" t="s">
        <v>82</v>
      </c>
      <c r="I1" t="s">
        <v>89</v>
      </c>
      <c r="J1" t="s">
        <v>100</v>
      </c>
    </row>
    <row r="2" spans="1:12" x14ac:dyDescent="0.25">
      <c r="A2" s="6" t="s">
        <v>80</v>
      </c>
      <c r="B2" s="3">
        <v>42856880</v>
      </c>
      <c r="C2" s="3">
        <v>29287070</v>
      </c>
      <c r="D2" s="3">
        <v>93097425</v>
      </c>
      <c r="E2" s="3">
        <v>1542775</v>
      </c>
      <c r="F2" s="3">
        <v>32806</v>
      </c>
      <c r="G2" s="3">
        <v>163.3860946745562</v>
      </c>
      <c r="H2" s="3">
        <v>338</v>
      </c>
      <c r="I2" s="3">
        <v>338</v>
      </c>
      <c r="J2" s="3">
        <v>63810355</v>
      </c>
    </row>
    <row r="3" spans="1:12" x14ac:dyDescent="0.25">
      <c r="A3" s="6" t="s">
        <v>81</v>
      </c>
      <c r="B3" s="3">
        <v>62395205</v>
      </c>
      <c r="C3" s="3">
        <v>5986060</v>
      </c>
      <c r="D3" s="3">
        <v>22518235</v>
      </c>
      <c r="E3" s="3">
        <v>1881905</v>
      </c>
      <c r="F3" s="3">
        <v>7404</v>
      </c>
      <c r="G3" s="3">
        <v>56.345070422535208</v>
      </c>
      <c r="H3" s="3">
        <v>142</v>
      </c>
      <c r="I3" s="3">
        <v>142</v>
      </c>
      <c r="J3" s="3">
        <v>16532175</v>
      </c>
    </row>
    <row r="4" spans="1:12" x14ac:dyDescent="0.25">
      <c r="A4" s="6" t="s">
        <v>77</v>
      </c>
      <c r="B4" s="9">
        <v>105252085</v>
      </c>
      <c r="C4" s="10">
        <v>35273130</v>
      </c>
      <c r="D4" s="10">
        <v>115615660</v>
      </c>
      <c r="E4" s="3">
        <v>3424680</v>
      </c>
      <c r="F4" s="3">
        <v>40210</v>
      </c>
      <c r="G4" s="3">
        <v>131.71979166666668</v>
      </c>
      <c r="H4" s="3">
        <v>480</v>
      </c>
      <c r="I4" s="3">
        <v>480</v>
      </c>
      <c r="J4" s="3">
        <v>80342530</v>
      </c>
    </row>
    <row r="5" spans="1:12" x14ac:dyDescent="0.25">
      <c r="B5" s="11">
        <f>GETPIVOTDATA("Sum of Inventory_Value",$A$1)</f>
        <v>105252085</v>
      </c>
      <c r="C5" s="11">
        <f>GETPIVOTDATA("Sum of profit",$A$1)</f>
        <v>35273130</v>
      </c>
      <c r="D5" s="11">
        <f>GETPIVOTDATA("Sum of Revenue",$A$1)</f>
        <v>115615660</v>
      </c>
      <c r="E5" t="s">
        <v>92</v>
      </c>
      <c r="F5" s="8">
        <f>GETPIVOTDATA("Sum of Total cost",$A$1)/GETPIVOTDATA("Sum of Inventory_Value",$A$1)</f>
        <v>0.76333433204672385</v>
      </c>
      <c r="G5" t="s">
        <v>90</v>
      </c>
      <c r="H5" s="7">
        <f>GETPIVOTDATA("Count of Slow moving flag",$A$1,"Slow moving flag","Slow Moving")/GETPIVOTDATA("Count of Slow moving flag",$A$1)</f>
        <v>0.29583333333333334</v>
      </c>
      <c r="I5" t="s">
        <v>101</v>
      </c>
      <c r="J5" s="7">
        <f>GETPIVOTDATA("Sum of profit",$A$1)/GETPIVOTDATA("Sum of Revenue",$A$1)</f>
        <v>0.30508955274743921</v>
      </c>
    </row>
    <row r="7" spans="1:12" x14ac:dyDescent="0.25">
      <c r="A7" s="5" t="s">
        <v>76</v>
      </c>
      <c r="B7" t="s">
        <v>78</v>
      </c>
      <c r="D7" s="5" t="s">
        <v>76</v>
      </c>
      <c r="E7" t="s">
        <v>79</v>
      </c>
      <c r="G7" s="5" t="s">
        <v>76</v>
      </c>
      <c r="H7" t="s">
        <v>85</v>
      </c>
      <c r="I7" t="s">
        <v>79</v>
      </c>
      <c r="K7" s="5" t="s">
        <v>76</v>
      </c>
      <c r="L7" t="s">
        <v>78</v>
      </c>
    </row>
    <row r="8" spans="1:12" x14ac:dyDescent="0.25">
      <c r="A8" s="6" t="s">
        <v>45</v>
      </c>
      <c r="B8" s="3">
        <v>1724</v>
      </c>
      <c r="D8" s="6" t="s">
        <v>65</v>
      </c>
      <c r="E8" s="3">
        <v>9146470</v>
      </c>
      <c r="G8" s="17">
        <v>45658</v>
      </c>
      <c r="H8" s="3">
        <v>19910975</v>
      </c>
      <c r="I8" s="3">
        <v>6252970</v>
      </c>
      <c r="K8" s="6" t="s">
        <v>93</v>
      </c>
      <c r="L8" s="3">
        <v>6059</v>
      </c>
    </row>
    <row r="9" spans="1:12" x14ac:dyDescent="0.25">
      <c r="A9" s="6" t="s">
        <v>44</v>
      </c>
      <c r="B9" s="3">
        <v>3261</v>
      </c>
      <c r="D9" s="6" t="s">
        <v>67</v>
      </c>
      <c r="E9" s="3">
        <v>8878480</v>
      </c>
      <c r="G9" s="17">
        <v>45689</v>
      </c>
      <c r="H9" s="3">
        <v>20834355</v>
      </c>
      <c r="I9" s="3">
        <v>5876260</v>
      </c>
      <c r="K9" s="6" t="s">
        <v>95</v>
      </c>
      <c r="L9" s="3">
        <v>6760</v>
      </c>
    </row>
    <row r="10" spans="1:12" x14ac:dyDescent="0.25">
      <c r="A10" s="6" t="s">
        <v>63</v>
      </c>
      <c r="B10" s="3">
        <v>5541</v>
      </c>
      <c r="D10" s="6" t="s">
        <v>66</v>
      </c>
      <c r="E10" s="3">
        <v>8624360</v>
      </c>
      <c r="G10" s="17">
        <v>45717</v>
      </c>
      <c r="H10" s="3">
        <v>20391845</v>
      </c>
      <c r="I10" s="3">
        <v>6466570</v>
      </c>
      <c r="K10" s="6" t="s">
        <v>94</v>
      </c>
      <c r="L10" s="3">
        <v>7104</v>
      </c>
    </row>
    <row r="11" spans="1:12" x14ac:dyDescent="0.25">
      <c r="A11" s="6" t="s">
        <v>47</v>
      </c>
      <c r="B11" s="3">
        <v>7199</v>
      </c>
      <c r="D11" s="6" t="s">
        <v>64</v>
      </c>
      <c r="E11" s="3">
        <v>8623820</v>
      </c>
      <c r="G11" s="17">
        <v>45748</v>
      </c>
      <c r="H11" s="3">
        <v>20590740</v>
      </c>
      <c r="I11" s="3">
        <v>6266840</v>
      </c>
      <c r="K11" s="6" t="s">
        <v>96</v>
      </c>
      <c r="L11" s="3">
        <v>20287</v>
      </c>
    </row>
    <row r="12" spans="1:12" x14ac:dyDescent="0.25">
      <c r="A12" s="6" t="s">
        <v>46</v>
      </c>
      <c r="B12" s="3">
        <v>22485</v>
      </c>
      <c r="D12" s="6" t="s">
        <v>77</v>
      </c>
      <c r="E12" s="3">
        <v>35273130</v>
      </c>
      <c r="G12" s="17">
        <v>45778</v>
      </c>
      <c r="H12" s="3">
        <v>17420100</v>
      </c>
      <c r="I12" s="3">
        <v>5223940</v>
      </c>
      <c r="K12" s="6" t="s">
        <v>77</v>
      </c>
      <c r="L12" s="3">
        <v>40210</v>
      </c>
    </row>
    <row r="13" spans="1:12" x14ac:dyDescent="0.25">
      <c r="A13" s="6" t="s">
        <v>77</v>
      </c>
      <c r="B13" s="3">
        <v>40210</v>
      </c>
      <c r="G13" s="17">
        <v>45809</v>
      </c>
      <c r="H13" s="3">
        <v>16467645</v>
      </c>
      <c r="I13" s="3">
        <v>5186550</v>
      </c>
    </row>
    <row r="14" spans="1:12" x14ac:dyDescent="0.25">
      <c r="G14" s="17" t="s">
        <v>77</v>
      </c>
      <c r="H14" s="3">
        <v>115615660</v>
      </c>
      <c r="I14" s="3">
        <v>35273130</v>
      </c>
    </row>
    <row r="16" spans="1:12" x14ac:dyDescent="0.25">
      <c r="A16" s="5" t="s">
        <v>76</v>
      </c>
      <c r="B16" t="s">
        <v>79</v>
      </c>
      <c r="D16" s="11">
        <f>GETPIVOTDATA("Sum of profit",$A$1)</f>
        <v>35273130</v>
      </c>
    </row>
    <row r="17" spans="1:3" x14ac:dyDescent="0.25">
      <c r="A17" s="6" t="s">
        <v>40</v>
      </c>
      <c r="B17" s="3">
        <v>2815000</v>
      </c>
    </row>
    <row r="18" spans="1:3" x14ac:dyDescent="0.25">
      <c r="A18" s="6" t="s">
        <v>61</v>
      </c>
      <c r="B18" s="3">
        <v>2944000</v>
      </c>
    </row>
    <row r="19" spans="1:3" x14ac:dyDescent="0.25">
      <c r="A19" s="6" t="s">
        <v>52</v>
      </c>
      <c r="B19" s="3">
        <v>3288000</v>
      </c>
    </row>
    <row r="20" spans="1:3" x14ac:dyDescent="0.25">
      <c r="A20" s="6" t="s">
        <v>39</v>
      </c>
      <c r="B20" s="3">
        <v>4790000</v>
      </c>
    </row>
    <row r="21" spans="1:3" x14ac:dyDescent="0.25">
      <c r="A21" s="6" t="s">
        <v>48</v>
      </c>
      <c r="B21" s="3">
        <v>5296000</v>
      </c>
    </row>
    <row r="22" spans="1:3" x14ac:dyDescent="0.25">
      <c r="A22" s="6" t="s">
        <v>77</v>
      </c>
      <c r="B22" s="3">
        <v>19133000</v>
      </c>
      <c r="C22">
        <f>19133000/35273130*100</f>
        <v>54.242421922863095</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A5FA-2B20-4297-8725-0120BEC4F1CD}">
  <dimension ref="A1:V31"/>
  <sheetViews>
    <sheetView showGridLines="0" showRowColHeaders="0" tabSelected="1" topLeftCell="A10" zoomScaleNormal="100" workbookViewId="0">
      <selection activeCell="H8" sqref="H8"/>
    </sheetView>
  </sheetViews>
  <sheetFormatPr defaultRowHeight="15" x14ac:dyDescent="0.25"/>
  <cols>
    <col min="1" max="1" width="9.140625" style="12" customWidth="1"/>
    <col min="2" max="2" width="10.42578125" style="12" customWidth="1"/>
    <col min="3" max="3" width="9.140625" style="12" customWidth="1"/>
    <col min="4" max="11" width="9.140625" style="12"/>
    <col min="12" max="12" width="8.42578125" style="12" customWidth="1"/>
    <col min="13" max="13" width="9.5703125" style="12" customWidth="1"/>
    <col min="14" max="16384" width="9.140625" style="12"/>
  </cols>
  <sheetData>
    <row r="1" spans="1:22" ht="15" customHeight="1" x14ac:dyDescent="0.25">
      <c r="A1" s="34" t="s">
        <v>97</v>
      </c>
      <c r="B1" s="34"/>
      <c r="C1" s="34"/>
      <c r="D1" s="34"/>
      <c r="E1" s="34"/>
      <c r="F1" s="34"/>
      <c r="G1" s="34"/>
      <c r="H1" s="34"/>
      <c r="I1" s="34"/>
      <c r="J1" s="34"/>
      <c r="K1" s="34"/>
      <c r="L1" s="34"/>
      <c r="M1" s="34"/>
      <c r="N1" s="34"/>
      <c r="O1" s="34"/>
      <c r="P1" s="34"/>
      <c r="Q1" s="34"/>
      <c r="R1" s="34"/>
      <c r="S1" s="34"/>
      <c r="T1" s="34"/>
    </row>
    <row r="2" spans="1:22" ht="15" customHeight="1" x14ac:dyDescent="0.25">
      <c r="A2" s="23" t="s">
        <v>98</v>
      </c>
      <c r="B2" s="23"/>
      <c r="C2" s="23"/>
      <c r="D2" s="23"/>
      <c r="E2" s="23"/>
      <c r="F2" s="23"/>
      <c r="G2" s="23"/>
      <c r="H2" s="23"/>
      <c r="I2" s="23"/>
      <c r="J2" s="23"/>
      <c r="K2" s="23"/>
      <c r="L2" s="23"/>
      <c r="M2" s="23"/>
      <c r="N2" s="23"/>
      <c r="O2" s="23"/>
      <c r="P2" s="23"/>
      <c r="Q2" s="23"/>
      <c r="R2" s="23"/>
      <c r="S2" s="23"/>
      <c r="T2" s="23"/>
    </row>
    <row r="3" spans="1:22" x14ac:dyDescent="0.25">
      <c r="A3" s="16"/>
      <c r="B3" s="20" t="s">
        <v>99</v>
      </c>
      <c r="C3" s="20"/>
      <c r="E3" s="24" t="s">
        <v>103</v>
      </c>
      <c r="F3" s="24"/>
      <c r="G3" s="16"/>
      <c r="H3" s="23" t="s">
        <v>104</v>
      </c>
      <c r="I3" s="23"/>
      <c r="J3" s="16"/>
      <c r="K3" s="23" t="s">
        <v>105</v>
      </c>
      <c r="L3" s="23"/>
      <c r="M3" s="16"/>
      <c r="N3" s="23" t="s">
        <v>106</v>
      </c>
      <c r="O3" s="23"/>
      <c r="P3" s="16"/>
      <c r="Q3" s="23" t="s">
        <v>107</v>
      </c>
      <c r="R3" s="23"/>
      <c r="S3" s="29"/>
      <c r="T3" s="23"/>
      <c r="U3" s="23"/>
      <c r="V3" s="23"/>
    </row>
    <row r="4" spans="1:22" x14ac:dyDescent="0.25">
      <c r="B4" s="19">
        <f>Dashboard_data!B5</f>
        <v>105252085</v>
      </c>
      <c r="C4" s="20"/>
      <c r="E4" s="25">
        <f>Dashboard_data!C5</f>
        <v>35273130</v>
      </c>
      <c r="F4" s="23"/>
      <c r="G4" s="13"/>
      <c r="H4" s="26">
        <f>Dashboard_data!J5</f>
        <v>0.30508955274743921</v>
      </c>
      <c r="I4" s="24"/>
      <c r="J4" s="14"/>
      <c r="K4" s="27">
        <f>Dashboard_data!B5</f>
        <v>105252085</v>
      </c>
      <c r="L4" s="24"/>
      <c r="M4" s="14"/>
      <c r="N4" s="28">
        <f>Dashboard_data!F5</f>
        <v>0.76333433204672385</v>
      </c>
      <c r="O4" s="24"/>
      <c r="P4" s="13"/>
      <c r="Q4" s="30">
        <f>Dashboard_data!H5</f>
        <v>0.29583333333333334</v>
      </c>
      <c r="R4" s="31"/>
      <c r="S4" s="23"/>
      <c r="T4" s="23"/>
      <c r="U4" s="23"/>
      <c r="V4" s="23"/>
    </row>
    <row r="5" spans="1:22" x14ac:dyDescent="0.25">
      <c r="B5" s="32"/>
      <c r="C5" s="33"/>
      <c r="S5" s="23"/>
      <c r="T5" s="23"/>
      <c r="U5" s="23"/>
      <c r="V5" s="23"/>
    </row>
    <row r="6" spans="1:22" x14ac:dyDescent="0.25">
      <c r="B6" s="15"/>
      <c r="C6" s="15"/>
    </row>
    <row r="7" spans="1:22" x14ac:dyDescent="0.25">
      <c r="K7" s="12" t="s">
        <v>102</v>
      </c>
    </row>
    <row r="13" spans="1:22" x14ac:dyDescent="0.25">
      <c r="I13" s="12" t="s">
        <v>102</v>
      </c>
    </row>
    <row r="23" spans="9:16" x14ac:dyDescent="0.25">
      <c r="J23" s="21" t="s">
        <v>108</v>
      </c>
      <c r="K23" s="22"/>
      <c r="L23" s="22"/>
      <c r="M23" s="22"/>
      <c r="N23" s="22"/>
      <c r="O23" s="22"/>
      <c r="P23" s="22"/>
    </row>
    <row r="24" spans="9:16" x14ac:dyDescent="0.25">
      <c r="J24" s="22"/>
      <c r="K24" s="22"/>
      <c r="L24" s="22"/>
      <c r="M24" s="22"/>
      <c r="N24" s="22"/>
      <c r="O24" s="22"/>
      <c r="P24" s="22"/>
    </row>
    <row r="25" spans="9:16" x14ac:dyDescent="0.25">
      <c r="I25" s="18"/>
      <c r="J25" s="22"/>
      <c r="K25" s="22"/>
      <c r="L25" s="22"/>
      <c r="M25" s="22"/>
      <c r="N25" s="22"/>
      <c r="O25" s="22"/>
      <c r="P25" s="22"/>
    </row>
    <row r="26" spans="9:16" x14ac:dyDescent="0.25">
      <c r="J26" s="22"/>
      <c r="K26" s="22"/>
      <c r="L26" s="22"/>
      <c r="M26" s="22"/>
      <c r="N26" s="22"/>
      <c r="O26" s="22"/>
      <c r="P26" s="22"/>
    </row>
    <row r="27" spans="9:16" x14ac:dyDescent="0.25">
      <c r="J27" s="22"/>
      <c r="K27" s="22"/>
      <c r="L27" s="22"/>
      <c r="M27" s="22"/>
      <c r="N27" s="22"/>
      <c r="O27" s="22"/>
      <c r="P27" s="22"/>
    </row>
    <row r="28" spans="9:16" x14ac:dyDescent="0.25">
      <c r="J28" s="22"/>
      <c r="K28" s="22"/>
      <c r="L28" s="22"/>
      <c r="M28" s="22"/>
      <c r="N28" s="22"/>
      <c r="O28" s="22"/>
      <c r="P28" s="22"/>
    </row>
    <row r="29" spans="9:16" x14ac:dyDescent="0.25">
      <c r="J29" s="22"/>
      <c r="K29" s="22"/>
      <c r="L29" s="22"/>
      <c r="M29" s="22"/>
      <c r="N29" s="22"/>
      <c r="O29" s="22"/>
      <c r="P29" s="22"/>
    </row>
    <row r="30" spans="9:16" x14ac:dyDescent="0.25">
      <c r="J30" s="22"/>
      <c r="K30" s="22"/>
      <c r="L30" s="22"/>
      <c r="M30" s="22"/>
      <c r="N30" s="22"/>
      <c r="O30" s="22"/>
      <c r="P30" s="22"/>
    </row>
    <row r="31" spans="9:16" x14ac:dyDescent="0.25">
      <c r="J31" s="22"/>
      <c r="K31" s="22"/>
      <c r="L31" s="22"/>
      <c r="M31" s="22"/>
      <c r="N31" s="22"/>
      <c r="O31" s="22"/>
      <c r="P31" s="22"/>
    </row>
  </sheetData>
  <mergeCells count="17">
    <mergeCell ref="B5:C5"/>
    <mergeCell ref="B4:C4"/>
    <mergeCell ref="J23:P31"/>
    <mergeCell ref="A1:T1"/>
    <mergeCell ref="A2:T2"/>
    <mergeCell ref="B3:C3"/>
    <mergeCell ref="E3:F3"/>
    <mergeCell ref="E4:F4"/>
    <mergeCell ref="H3:I3"/>
    <mergeCell ref="H4:I4"/>
    <mergeCell ref="K3:L3"/>
    <mergeCell ref="K4:L4"/>
    <mergeCell ref="N3:O3"/>
    <mergeCell ref="N4:O4"/>
    <mergeCell ref="S3:V5"/>
    <mergeCell ref="Q3:R3"/>
    <mergeCell ref="Q4:R4"/>
  </mergeCells>
  <conditionalFormatting sqref="H4:I4">
    <cfRule type="cellIs" dxfId="8" priority="9" operator="greaterThan">
      <formula>0.3</formula>
    </cfRule>
    <cfRule type="cellIs" dxfId="7" priority="8" operator="lessThan">
      <formula>0.15</formula>
    </cfRule>
    <cfRule type="cellIs" dxfId="6" priority="7" operator="between">
      <formula>0.15</formula>
      <formula>0.3</formula>
    </cfRule>
  </conditionalFormatting>
  <conditionalFormatting sqref="N4:O4">
    <cfRule type="cellIs" dxfId="5" priority="6" operator="lessThan">
      <formula>1</formula>
    </cfRule>
    <cfRule type="cellIs" dxfId="4" priority="5" operator="between">
      <formula>1</formula>
      <formula>2</formula>
    </cfRule>
    <cfRule type="cellIs" dxfId="3" priority="4" operator="greaterThan">
      <formula>2</formula>
    </cfRule>
  </conditionalFormatting>
  <conditionalFormatting sqref="Q4:R4">
    <cfRule type="cellIs" dxfId="2" priority="3" operator="lessThan">
      <formula>0.2</formula>
    </cfRule>
    <cfRule type="cellIs" dxfId="1" priority="2" operator="between">
      <formula>0.2</formula>
      <formula>0.35</formula>
    </cfRule>
    <cfRule type="cellIs" dxfId="0" priority="1" operator="greaterThan">
      <formula>0.35</formula>
    </cfRule>
  </conditionalFormatting>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6E67DC-55D0-4336-9290-F4550BEAE4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21</vt:i4>
      </vt:variant>
    </vt:vector>
  </HeadingPairs>
  <TitlesOfParts>
    <vt:vector size="25" baseType="lpstr">
      <vt:lpstr>Raw_data</vt:lpstr>
      <vt:lpstr>Product_Master</vt:lpstr>
      <vt:lpstr>Dashboard_data</vt:lpstr>
      <vt:lpstr>Inventory_Risk_Dashboard</vt:lpstr>
      <vt:lpstr>Aging_Bucket</vt:lpstr>
      <vt:lpstr>Average_Inventory</vt:lpstr>
      <vt:lpstr>Category</vt:lpstr>
      <vt:lpstr>Closing_Stock</vt:lpstr>
      <vt:lpstr>Cost_Price</vt:lpstr>
      <vt:lpstr>Dead_Stock_flag</vt:lpstr>
      <vt:lpstr>Inventory_Value</vt:lpstr>
      <vt:lpstr>Low_Margin_Risk</vt:lpstr>
      <vt:lpstr>Month</vt:lpstr>
      <vt:lpstr>Opening_Stock</vt:lpstr>
      <vt:lpstr>Overstock_Risk</vt:lpstr>
      <vt:lpstr>Product_ID</vt:lpstr>
      <vt:lpstr>Product_Name</vt:lpstr>
      <vt:lpstr>profit</vt:lpstr>
      <vt:lpstr>Profit_margin</vt:lpstr>
      <vt:lpstr>Region</vt:lpstr>
      <vt:lpstr>Revenue</vt:lpstr>
      <vt:lpstr>Selling_Price</vt:lpstr>
      <vt:lpstr>Slow_moving_flag</vt:lpstr>
      <vt:lpstr>Total_cost</vt:lpstr>
      <vt:lpstr>Units_Sold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ASAD Khan</dc:creator>
  <cp:lastModifiedBy>ASAD Khan</cp:lastModifiedBy>
  <dcterms:created xsi:type="dcterms:W3CDTF">2026-02-19T12:29:53Z</dcterms:created>
  <dcterms:modified xsi:type="dcterms:W3CDTF">2026-04-15T09:29:40Z</dcterms:modified>
</cp:coreProperties>
</file>